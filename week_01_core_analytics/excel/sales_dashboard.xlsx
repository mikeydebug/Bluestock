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Lookup_Table" sheetId="2" state="visible" r:id="rId2"/>
    <sheet xmlns:r="http://schemas.openxmlformats.org/officeDocument/2006/relationships" name="Executive_Dashboard" sheetId="3" state="visible" r:id="rId3"/>
    <sheet xmlns:r="http://schemas.openxmlformats.org/officeDocument/2006/relationships" name="Pivot_Summa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D9E1F2"/>
      <sz val="9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5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7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7" customWidth="1" min="3" max="3"/>
    <col width="14" customWidth="1" min="4" max="4"/>
    <col width="12" customWidth="1" min="5" max="5"/>
    <col width="13" customWidth="1" min="6" max="6"/>
    <col width="56" customWidth="1" min="7" max="7"/>
    <col width="12" customWidth="1" min="8" max="8"/>
    <col width="13" customWidth="1" min="9" max="9"/>
    <col width="16" customWidth="1" min="10" max="10"/>
    <col width="15" customWidth="1" min="11" max="11"/>
    <col width="15" customWidth="1" min="12" max="12"/>
    <col width="14" customWidth="1" min="13" max="13"/>
    <col width="26" customWidth="1" min="14" max="14"/>
    <col width="13" customWidth="1" min="15" max="15"/>
    <col width="16" customWidth="1" min="16" max="16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Segment</t>
        </is>
      </c>
      <c r="E1" s="1" t="inlineStr">
        <is>
          <t>Region</t>
        </is>
      </c>
      <c r="F1" s="1" t="inlineStr">
        <is>
          <t>Product_ID</t>
        </is>
      </c>
      <c r="G1" s="1" t="inlineStr">
        <is>
          <t>Product_Name_Lookup</t>
        </is>
      </c>
      <c r="H1" s="1" t="inlineStr">
        <is>
          <t>Units</t>
        </is>
      </c>
      <c r="I1" s="1" t="inlineStr">
        <is>
          <t>Unit_Price</t>
        </is>
      </c>
      <c r="J1" s="1" t="inlineStr">
        <is>
          <t>Gross_Revenue</t>
        </is>
      </c>
      <c r="K1" s="1" t="inlineStr">
        <is>
          <t>Discount_Pct</t>
        </is>
      </c>
      <c r="L1" s="1" t="inlineStr">
        <is>
          <t>Discount_Amt</t>
        </is>
      </c>
      <c r="M1" s="1" t="inlineStr">
        <is>
          <t>Net_Revenue</t>
        </is>
      </c>
      <c r="N1" s="1" t="inlineStr">
        <is>
          <t>Cost_of_Goods</t>
        </is>
      </c>
      <c r="O1" s="1" t="inlineStr">
        <is>
          <t>Net_Profit</t>
        </is>
      </c>
      <c r="P1" s="1" t="inlineStr">
        <is>
          <t>Profit_Margin</t>
        </is>
      </c>
    </row>
    <row r="2">
      <c r="A2" s="2" t="inlineStr">
        <is>
          <t>ORD-2025-001</t>
        </is>
      </c>
      <c r="B2" s="2" t="inlineStr">
        <is>
          <t>2025-01-07</t>
        </is>
      </c>
      <c r="C2" s="2" t="inlineStr">
        <is>
          <t>Monsoon Capital Advisors</t>
        </is>
      </c>
      <c r="D2" s="2" t="inlineStr">
        <is>
          <t>Corporate</t>
        </is>
      </c>
      <c r="E2" s="2" t="inlineStr">
        <is>
          <t>East</t>
        </is>
      </c>
      <c r="F2" s="2" t="inlineStr">
        <is>
          <t>PRD-001</t>
        </is>
      </c>
      <c r="G2" s="2">
        <f>INDEX(Lookup_Table!:, MATCH(F2, Lookup_Table!:, 0))</f>
        <v/>
      </c>
      <c r="H2" s="3" t="n">
        <v>12</v>
      </c>
      <c r="I2" s="4" t="n">
        <v>45000</v>
      </c>
      <c r="J2" s="4">
        <f>H2*I2</f>
        <v/>
      </c>
      <c r="K2" s="5" t="n">
        <v>0.1</v>
      </c>
      <c r="L2" s="4">
        <f>J2*K2</f>
        <v/>
      </c>
      <c r="M2" s="4">
        <f>J2-L2</f>
        <v/>
      </c>
      <c r="N2" s="4">
        <f>ROUND(H2*I2*0.65, 2)</f>
        <v/>
      </c>
      <c r="O2" s="4">
        <f>M2-N2</f>
        <v/>
      </c>
      <c r="P2" s="5">
        <f>O2/M2</f>
        <v/>
      </c>
    </row>
    <row r="3">
      <c r="A3" s="2" t="inlineStr">
        <is>
          <t>ORD-2025-002</t>
        </is>
      </c>
      <c r="B3" s="2" t="inlineStr">
        <is>
          <t>2025-02-05</t>
        </is>
      </c>
      <c r="C3" s="2" t="inlineStr">
        <is>
          <t>Rohit Verma</t>
        </is>
      </c>
      <c r="D3" s="2" t="inlineStr">
        <is>
          <t>Consumer</t>
        </is>
      </c>
      <c r="E3" s="2" t="inlineStr">
        <is>
          <t>South</t>
        </is>
      </c>
      <c r="F3" s="2" t="inlineStr">
        <is>
          <t>PRD-002</t>
        </is>
      </c>
      <c r="G3" s="2">
        <f>INDEX(Lookup_Table!:, MATCH(F3, Lookup_Table!:, 0))</f>
        <v/>
      </c>
      <c r="H3" s="3" t="n">
        <v>12</v>
      </c>
      <c r="I3" s="4" t="n">
        <v>25000</v>
      </c>
      <c r="J3" s="4">
        <f>H3*I3</f>
        <v/>
      </c>
      <c r="K3" s="5" t="n">
        <v>0</v>
      </c>
      <c r="L3" s="4">
        <f>J3*K3</f>
        <v/>
      </c>
      <c r="M3" s="4">
        <f>J3-L3</f>
        <v/>
      </c>
      <c r="N3" s="4">
        <f>ROUND(H3*I3*0.55, 2)</f>
        <v/>
      </c>
      <c r="O3" s="4">
        <f>M3-N3</f>
        <v/>
      </c>
      <c r="P3" s="5">
        <f>O3/M3</f>
        <v/>
      </c>
    </row>
    <row r="4">
      <c r="A4" s="2" t="inlineStr">
        <is>
          <t>ORD-2025-003</t>
        </is>
      </c>
      <c r="B4" s="2" t="inlineStr">
        <is>
          <t>2025-05-20</t>
        </is>
      </c>
      <c r="C4" s="2" t="inlineStr">
        <is>
          <t>Monsoon Capital Advisors</t>
        </is>
      </c>
      <c r="D4" s="2" t="inlineStr">
        <is>
          <t>Corporate</t>
        </is>
      </c>
      <c r="E4" s="2" t="inlineStr">
        <is>
          <t>East</t>
        </is>
      </c>
      <c r="F4" s="2" t="inlineStr">
        <is>
          <t>PRD-006</t>
        </is>
      </c>
      <c r="G4" s="2">
        <f>INDEX(Lookup_Table!:, MATCH(F4, Lookup_Table!:, 0))</f>
        <v/>
      </c>
      <c r="H4" s="3" t="n">
        <v>2</v>
      </c>
      <c r="I4" s="4" t="n">
        <v>5000</v>
      </c>
      <c r="J4" s="4">
        <f>H4*I4</f>
        <v/>
      </c>
      <c r="K4" s="5" t="n">
        <v>0.15</v>
      </c>
      <c r="L4" s="4">
        <f>J4*K4</f>
        <v/>
      </c>
      <c r="M4" s="4">
        <f>J4-L4</f>
        <v/>
      </c>
      <c r="N4" s="4">
        <f>ROUND(H4*I4*0.40, 2)</f>
        <v/>
      </c>
      <c r="O4" s="4">
        <f>M4-N4</f>
        <v/>
      </c>
      <c r="P4" s="5">
        <f>O4/M4</f>
        <v/>
      </c>
    </row>
    <row r="5">
      <c r="A5" s="2" t="inlineStr">
        <is>
          <t>ORD-2025-004</t>
        </is>
      </c>
      <c r="B5" s="2" t="inlineStr">
        <is>
          <t>2025-01-24</t>
        </is>
      </c>
      <c r="C5" s="2" t="inlineStr">
        <is>
          <t>Apex Wealth Advisors</t>
        </is>
      </c>
      <c r="D5" s="2" t="inlineStr">
        <is>
          <t>Corporate</t>
        </is>
      </c>
      <c r="E5" s="2" t="inlineStr">
        <is>
          <t>North</t>
        </is>
      </c>
      <c r="F5" s="2" t="inlineStr">
        <is>
          <t>PRD-001</t>
        </is>
      </c>
      <c r="G5" s="2">
        <f>INDEX(Lookup_Table!:, MATCH(F5, Lookup_Table!:, 0))</f>
        <v/>
      </c>
      <c r="H5" s="3" t="n">
        <v>4</v>
      </c>
      <c r="I5" s="4" t="n">
        <v>45000</v>
      </c>
      <c r="J5" s="4">
        <f>H5*I5</f>
        <v/>
      </c>
      <c r="K5" s="5" t="n">
        <v>0.05</v>
      </c>
      <c r="L5" s="4">
        <f>J5*K5</f>
        <v/>
      </c>
      <c r="M5" s="4">
        <f>J5-L5</f>
        <v/>
      </c>
      <c r="N5" s="4">
        <f>ROUND(H5*I5*0.65, 2)</f>
        <v/>
      </c>
      <c r="O5" s="4">
        <f>M5-N5</f>
        <v/>
      </c>
      <c r="P5" s="5">
        <f>O5/M5</f>
        <v/>
      </c>
    </row>
    <row r="6">
      <c r="A6" s="2" t="inlineStr">
        <is>
          <t>ORD-2025-005</t>
        </is>
      </c>
      <c r="B6" s="2" t="inlineStr">
        <is>
          <t>2025-01-07</t>
        </is>
      </c>
      <c r="C6" s="2" t="inlineStr">
        <is>
          <t>Quantum Global Funds</t>
        </is>
      </c>
      <c r="D6" s="2" t="inlineStr">
        <is>
          <t>Corporate</t>
        </is>
      </c>
      <c r="E6" s="2" t="inlineStr">
        <is>
          <t>West</t>
        </is>
      </c>
      <c r="F6" s="2" t="inlineStr">
        <is>
          <t>PRD-005</t>
        </is>
      </c>
      <c r="G6" s="2">
        <f>INDEX(Lookup_Table!:, MATCH(F6, Lookup_Table!:, 0))</f>
        <v/>
      </c>
      <c r="H6" s="3" t="n">
        <v>9</v>
      </c>
      <c r="I6" s="4" t="n">
        <v>15000</v>
      </c>
      <c r="J6" s="4">
        <f>H6*I6</f>
        <v/>
      </c>
      <c r="K6" s="5" t="n">
        <v>0.05</v>
      </c>
      <c r="L6" s="4">
        <f>J6*K6</f>
        <v/>
      </c>
      <c r="M6" s="4">
        <f>J6-L6</f>
        <v/>
      </c>
      <c r="N6" s="4">
        <f>ROUND(H6*I6*0.50, 2)</f>
        <v/>
      </c>
      <c r="O6" s="4">
        <f>M6-N6</f>
        <v/>
      </c>
      <c r="P6" s="5">
        <f>O6/M6</f>
        <v/>
      </c>
    </row>
    <row r="7">
      <c r="A7" s="2" t="inlineStr">
        <is>
          <t>ORD-2025-006</t>
        </is>
      </c>
      <c r="B7" s="2" t="inlineStr">
        <is>
          <t>2025-06-29</t>
        </is>
      </c>
      <c r="C7" s="2" t="inlineStr">
        <is>
          <t>Rajesh Agarwal</t>
        </is>
      </c>
      <c r="D7" s="2" t="inlineStr">
        <is>
          <t>Consumer</t>
        </is>
      </c>
      <c r="E7" s="2" t="inlineStr">
        <is>
          <t>North</t>
        </is>
      </c>
      <c r="F7" s="2" t="inlineStr">
        <is>
          <t>PRD-006</t>
        </is>
      </c>
      <c r="G7" s="2">
        <f>INDEX(Lookup_Table!:, MATCH(F7, Lookup_Table!:, 0))</f>
        <v/>
      </c>
      <c r="H7" s="3" t="n">
        <v>9</v>
      </c>
      <c r="I7" s="4" t="n">
        <v>5000</v>
      </c>
      <c r="J7" s="4">
        <f>H7*I7</f>
        <v/>
      </c>
      <c r="K7" s="5" t="n">
        <v>0.15</v>
      </c>
      <c r="L7" s="4">
        <f>J7*K7</f>
        <v/>
      </c>
      <c r="M7" s="4">
        <f>J7-L7</f>
        <v/>
      </c>
      <c r="N7" s="4">
        <f>ROUND(H7*I7*0.40, 2)</f>
        <v/>
      </c>
      <c r="O7" s="4">
        <f>M7-N7</f>
        <v/>
      </c>
      <c r="P7" s="5">
        <f>O7/M7</f>
        <v/>
      </c>
    </row>
    <row r="8">
      <c r="A8" s="2" t="inlineStr">
        <is>
          <t>ORD-2025-007</t>
        </is>
      </c>
      <c r="B8" s="2" t="inlineStr">
        <is>
          <t>2025-05-31</t>
        </is>
      </c>
      <c r="C8" s="2" t="inlineStr">
        <is>
          <t>Rohit Verma</t>
        </is>
      </c>
      <c r="D8" s="2" t="inlineStr">
        <is>
          <t>Consumer</t>
        </is>
      </c>
      <c r="E8" s="2" t="inlineStr">
        <is>
          <t>South</t>
        </is>
      </c>
      <c r="F8" s="2" t="inlineStr">
        <is>
          <t>PRD-004</t>
        </is>
      </c>
      <c r="G8" s="2">
        <f>INDEX(Lookup_Table!:, MATCH(F8, Lookup_Table!:, 0))</f>
        <v/>
      </c>
      <c r="H8" s="3" t="n">
        <v>5</v>
      </c>
      <c r="I8" s="4" t="n">
        <v>20000</v>
      </c>
      <c r="J8" s="4">
        <f>H8*I8</f>
        <v/>
      </c>
      <c r="K8" s="5" t="n">
        <v>0</v>
      </c>
      <c r="L8" s="4">
        <f>J8*K8</f>
        <v/>
      </c>
      <c r="M8" s="4">
        <f>J8-L8</f>
        <v/>
      </c>
      <c r="N8" s="4">
        <f>ROUND(H8*I8*0.70, 2)</f>
        <v/>
      </c>
      <c r="O8" s="4">
        <f>M8-N8</f>
        <v/>
      </c>
      <c r="P8" s="5">
        <f>O8/M8</f>
        <v/>
      </c>
    </row>
    <row r="9">
      <c r="A9" s="2" t="inlineStr">
        <is>
          <t>ORD-2025-008</t>
        </is>
      </c>
      <c r="B9" s="2" t="inlineStr">
        <is>
          <t>2025-06-28</t>
        </is>
      </c>
      <c r="C9" s="2" t="inlineStr">
        <is>
          <t>Bengaluru Quant Desk</t>
        </is>
      </c>
      <c r="D9" s="2" t="inlineStr">
        <is>
          <t>FinTech Pro</t>
        </is>
      </c>
      <c r="E9" s="2" t="inlineStr">
        <is>
          <t>South</t>
        </is>
      </c>
      <c r="F9" s="2" t="inlineStr">
        <is>
          <t>PRD-002</t>
        </is>
      </c>
      <c r="G9" s="2">
        <f>INDEX(Lookup_Table!:, MATCH(F9, Lookup_Table!:, 0))</f>
        <v/>
      </c>
      <c r="H9" s="3" t="n">
        <v>7</v>
      </c>
      <c r="I9" s="4" t="n">
        <v>25000</v>
      </c>
      <c r="J9" s="4">
        <f>H9*I9</f>
        <v/>
      </c>
      <c r="K9" s="5" t="n">
        <v>0.1</v>
      </c>
      <c r="L9" s="4">
        <f>J9*K9</f>
        <v/>
      </c>
      <c r="M9" s="4">
        <f>J9-L9</f>
        <v/>
      </c>
      <c r="N9" s="4">
        <f>ROUND(H9*I9*0.55, 2)</f>
        <v/>
      </c>
      <c r="O9" s="4">
        <f>M9-N9</f>
        <v/>
      </c>
      <c r="P9" s="5">
        <f>O9/M9</f>
        <v/>
      </c>
    </row>
    <row r="10">
      <c r="A10" s="2" t="inlineStr">
        <is>
          <t>ORD-2025-009</t>
        </is>
      </c>
      <c r="B10" s="2" t="inlineStr">
        <is>
          <t>2025-02-25</t>
        </is>
      </c>
      <c r="C10" s="2" t="inlineStr">
        <is>
          <t>Starlight Finvest</t>
        </is>
      </c>
      <c r="D10" s="2" t="inlineStr">
        <is>
          <t>FinTech Pro</t>
        </is>
      </c>
      <c r="E10" s="2" t="inlineStr">
        <is>
          <t>West</t>
        </is>
      </c>
      <c r="F10" s="2" t="inlineStr">
        <is>
          <t>PRD-002</t>
        </is>
      </c>
      <c r="G10" s="2">
        <f>INDEX(Lookup_Table!:, MATCH(F10, Lookup_Table!:, 0))</f>
        <v/>
      </c>
      <c r="H10" s="3" t="n">
        <v>6</v>
      </c>
      <c r="I10" s="4" t="n">
        <v>25000</v>
      </c>
      <c r="J10" s="4">
        <f>H10*I10</f>
        <v/>
      </c>
      <c r="K10" s="5" t="n">
        <v>0</v>
      </c>
      <c r="L10" s="4">
        <f>J10*K10</f>
        <v/>
      </c>
      <c r="M10" s="4">
        <f>J10-L10</f>
        <v/>
      </c>
      <c r="N10" s="4">
        <f>ROUND(H10*I10*0.55, 2)</f>
        <v/>
      </c>
      <c r="O10" s="4">
        <f>M10-N10</f>
        <v/>
      </c>
      <c r="P10" s="5">
        <f>O10/M10</f>
        <v/>
      </c>
    </row>
    <row r="11">
      <c r="A11" s="2" t="inlineStr">
        <is>
          <t>ORD-2025-010</t>
        </is>
      </c>
      <c r="B11" s="2" t="inlineStr">
        <is>
          <t>2025-01-25</t>
        </is>
      </c>
      <c r="C11" s="2" t="inlineStr">
        <is>
          <t>Zenith Capital</t>
        </is>
      </c>
      <c r="D11" s="2" t="inlineStr">
        <is>
          <t>Corporate</t>
        </is>
      </c>
      <c r="E11" s="2" t="inlineStr">
        <is>
          <t>West</t>
        </is>
      </c>
      <c r="F11" s="2" t="inlineStr">
        <is>
          <t>PRD-004</t>
        </is>
      </c>
      <c r="G11" s="2">
        <f>INDEX(Lookup_Table!:, MATCH(F11, Lookup_Table!:, 0))</f>
        <v/>
      </c>
      <c r="H11" s="3" t="n">
        <v>6</v>
      </c>
      <c r="I11" s="4" t="n">
        <v>20000</v>
      </c>
      <c r="J11" s="4">
        <f>H11*I11</f>
        <v/>
      </c>
      <c r="K11" s="5" t="n">
        <v>0.1</v>
      </c>
      <c r="L11" s="4">
        <f>J11*K11</f>
        <v/>
      </c>
      <c r="M11" s="4">
        <f>J11-L11</f>
        <v/>
      </c>
      <c r="N11" s="4">
        <f>ROUND(H11*I11*0.70, 2)</f>
        <v/>
      </c>
      <c r="O11" s="4">
        <f>M11-N11</f>
        <v/>
      </c>
      <c r="P11" s="5">
        <f>O11/M11</f>
        <v/>
      </c>
    </row>
    <row r="12">
      <c r="A12" s="2" t="inlineStr">
        <is>
          <t>ORD-2025-011</t>
        </is>
      </c>
      <c r="B12" s="2" t="inlineStr">
        <is>
          <t>2025-01-12</t>
        </is>
      </c>
      <c r="C12" s="2" t="inlineStr">
        <is>
          <t>Vikas Singhania</t>
        </is>
      </c>
      <c r="D12" s="2" t="inlineStr">
        <is>
          <t>Consumer</t>
        </is>
      </c>
      <c r="E12" s="2" t="inlineStr">
        <is>
          <t>East</t>
        </is>
      </c>
      <c r="F12" s="2" t="inlineStr">
        <is>
          <t>PRD-003</t>
        </is>
      </c>
      <c r="G12" s="2">
        <f>INDEX(Lookup_Table!:, MATCH(F12, Lookup_Table!:, 0))</f>
        <v/>
      </c>
      <c r="H12" s="3" t="n">
        <v>12</v>
      </c>
      <c r="I12" s="4" t="n">
        <v>35000</v>
      </c>
      <c r="J12" s="4">
        <f>H12*I12</f>
        <v/>
      </c>
      <c r="K12" s="5" t="n">
        <v>0.15</v>
      </c>
      <c r="L12" s="4">
        <f>J12*K12</f>
        <v/>
      </c>
      <c r="M12" s="4">
        <f>J12-L12</f>
        <v/>
      </c>
      <c r="N12" s="4">
        <f>ROUND(H12*I12*0.60, 2)</f>
        <v/>
      </c>
      <c r="O12" s="4">
        <f>M12-N12</f>
        <v/>
      </c>
      <c r="P12" s="5">
        <f>O12/M12</f>
        <v/>
      </c>
    </row>
    <row r="13">
      <c r="A13" s="2" t="inlineStr">
        <is>
          <t>ORD-2025-012</t>
        </is>
      </c>
      <c r="B13" s="2" t="inlineStr">
        <is>
          <t>2025-04-07</t>
        </is>
      </c>
      <c r="C13" s="2" t="inlineStr">
        <is>
          <t>Quantum Global Funds</t>
        </is>
      </c>
      <c r="D13" s="2" t="inlineStr">
        <is>
          <t>Corporate</t>
        </is>
      </c>
      <c r="E13" s="2" t="inlineStr">
        <is>
          <t>West</t>
        </is>
      </c>
      <c r="F13" s="2" t="inlineStr">
        <is>
          <t>PRD-001</t>
        </is>
      </c>
      <c r="G13" s="2">
        <f>INDEX(Lookup_Table!:, MATCH(F13, Lookup_Table!:, 0))</f>
        <v/>
      </c>
      <c r="H13" s="3" t="n">
        <v>2</v>
      </c>
      <c r="I13" s="4" t="n">
        <v>45000</v>
      </c>
      <c r="J13" s="4">
        <f>H13*I13</f>
        <v/>
      </c>
      <c r="K13" s="5" t="n">
        <v>0.1</v>
      </c>
      <c r="L13" s="4">
        <f>J13*K13</f>
        <v/>
      </c>
      <c r="M13" s="4">
        <f>J13-L13</f>
        <v/>
      </c>
      <c r="N13" s="4">
        <f>ROUND(H13*I13*0.65, 2)</f>
        <v/>
      </c>
      <c r="O13" s="4">
        <f>M13-N13</f>
        <v/>
      </c>
      <c r="P13" s="5">
        <f>O13/M13</f>
        <v/>
      </c>
    </row>
    <row r="14">
      <c r="A14" s="2" t="inlineStr">
        <is>
          <t>ORD-2025-013</t>
        </is>
      </c>
      <c r="B14" s="2" t="inlineStr">
        <is>
          <t>2025-06-08</t>
        </is>
      </c>
      <c r="C14" s="2" t="inlineStr">
        <is>
          <t>Mumbai High-Tech Assets</t>
        </is>
      </c>
      <c r="D14" s="2" t="inlineStr">
        <is>
          <t>Corporate</t>
        </is>
      </c>
      <c r="E14" s="2" t="inlineStr">
        <is>
          <t>West</t>
        </is>
      </c>
      <c r="F14" s="2" t="inlineStr">
        <is>
          <t>PRD-006</t>
        </is>
      </c>
      <c r="G14" s="2">
        <f>INDEX(Lookup_Table!:, MATCH(F14, Lookup_Table!:, 0))</f>
        <v/>
      </c>
      <c r="H14" s="3" t="n">
        <v>6</v>
      </c>
      <c r="I14" s="4" t="n">
        <v>5000</v>
      </c>
      <c r="J14" s="4">
        <f>H14*I14</f>
        <v/>
      </c>
      <c r="K14" s="5" t="n">
        <v>0.05</v>
      </c>
      <c r="L14" s="4">
        <f>J14*K14</f>
        <v/>
      </c>
      <c r="M14" s="4">
        <f>J14-L14</f>
        <v/>
      </c>
      <c r="N14" s="4">
        <f>ROUND(H14*I14*0.40, 2)</f>
        <v/>
      </c>
      <c r="O14" s="4">
        <f>M14-N14</f>
        <v/>
      </c>
      <c r="P14" s="5">
        <f>O14/M14</f>
        <v/>
      </c>
    </row>
    <row r="15">
      <c r="A15" s="2" t="inlineStr">
        <is>
          <t>ORD-2025-014</t>
        </is>
      </c>
      <c r="B15" s="2" t="inlineStr">
        <is>
          <t>2025-01-12</t>
        </is>
      </c>
      <c r="C15" s="2" t="inlineStr">
        <is>
          <t>Rajesh Agarwal</t>
        </is>
      </c>
      <c r="D15" s="2" t="inlineStr">
        <is>
          <t>Consumer</t>
        </is>
      </c>
      <c r="E15" s="2" t="inlineStr">
        <is>
          <t>North</t>
        </is>
      </c>
      <c r="F15" s="2" t="inlineStr">
        <is>
          <t>PRD-001</t>
        </is>
      </c>
      <c r="G15" s="2">
        <f>INDEX(Lookup_Table!:, MATCH(F15, Lookup_Table!:, 0))</f>
        <v/>
      </c>
      <c r="H15" s="3" t="n">
        <v>11</v>
      </c>
      <c r="I15" s="4" t="n">
        <v>45000</v>
      </c>
      <c r="J15" s="4">
        <f>H15*I15</f>
        <v/>
      </c>
      <c r="K15" s="5" t="n">
        <v>0.05</v>
      </c>
      <c r="L15" s="4">
        <f>J15*K15</f>
        <v/>
      </c>
      <c r="M15" s="4">
        <f>J15-L15</f>
        <v/>
      </c>
      <c r="N15" s="4">
        <f>ROUND(H15*I15*0.65, 2)</f>
        <v/>
      </c>
      <c r="O15" s="4">
        <f>M15-N15</f>
        <v/>
      </c>
      <c r="P15" s="5">
        <f>O15/M15</f>
        <v/>
      </c>
    </row>
    <row r="16">
      <c r="A16" s="2" t="inlineStr">
        <is>
          <t>ORD-2025-015</t>
        </is>
      </c>
      <c r="B16" s="2" t="inlineStr">
        <is>
          <t>2025-01-21</t>
        </is>
      </c>
      <c r="C16" s="2" t="inlineStr">
        <is>
          <t>Bengaluru Quant Desk</t>
        </is>
      </c>
      <c r="D16" s="2" t="inlineStr">
        <is>
          <t>FinTech Pro</t>
        </is>
      </c>
      <c r="E16" s="2" t="inlineStr">
        <is>
          <t>South</t>
        </is>
      </c>
      <c r="F16" s="2" t="inlineStr">
        <is>
          <t>PRD-003</t>
        </is>
      </c>
      <c r="G16" s="2">
        <f>INDEX(Lookup_Table!:, MATCH(F16, Lookup_Table!:, 0))</f>
        <v/>
      </c>
      <c r="H16" s="3" t="n">
        <v>4</v>
      </c>
      <c r="I16" s="4" t="n">
        <v>35000</v>
      </c>
      <c r="J16" s="4">
        <f>H16*I16</f>
        <v/>
      </c>
      <c r="K16" s="5" t="n">
        <v>0</v>
      </c>
      <c r="L16" s="4">
        <f>J16*K16</f>
        <v/>
      </c>
      <c r="M16" s="4">
        <f>J16-L16</f>
        <v/>
      </c>
      <c r="N16" s="4">
        <f>ROUND(H16*I16*0.60, 2)</f>
        <v/>
      </c>
      <c r="O16" s="4">
        <f>M16-N16</f>
        <v/>
      </c>
      <c r="P16" s="5">
        <f>O16/M16</f>
        <v/>
      </c>
    </row>
    <row r="17">
      <c r="A17" s="2" t="inlineStr">
        <is>
          <t>ORD-2025-016</t>
        </is>
      </c>
      <c r="B17" s="2" t="inlineStr">
        <is>
          <t>2025-04-27</t>
        </is>
      </c>
      <c r="C17" s="2" t="inlineStr">
        <is>
          <t>Ananya Deshmukh</t>
        </is>
      </c>
      <c r="D17" s="2" t="inlineStr">
        <is>
          <t>Consumer</t>
        </is>
      </c>
      <c r="E17" s="2" t="inlineStr">
        <is>
          <t>West</t>
        </is>
      </c>
      <c r="F17" s="2" t="inlineStr">
        <is>
          <t>PRD-003</t>
        </is>
      </c>
      <c r="G17" s="2">
        <f>INDEX(Lookup_Table!:, MATCH(F17, Lookup_Table!:, 0))</f>
        <v/>
      </c>
      <c r="H17" s="3" t="n">
        <v>11</v>
      </c>
      <c r="I17" s="4" t="n">
        <v>35000</v>
      </c>
      <c r="J17" s="4">
        <f>H17*I17</f>
        <v/>
      </c>
      <c r="K17" s="5" t="n">
        <v>0.1</v>
      </c>
      <c r="L17" s="4">
        <f>J17*K17</f>
        <v/>
      </c>
      <c r="M17" s="4">
        <f>J17-L17</f>
        <v/>
      </c>
      <c r="N17" s="4">
        <f>ROUND(H17*I17*0.60, 2)</f>
        <v/>
      </c>
      <c r="O17" s="4">
        <f>M17-N17</f>
        <v/>
      </c>
      <c r="P17" s="5">
        <f>O17/M17</f>
        <v/>
      </c>
    </row>
    <row r="18">
      <c r="A18" s="2" t="inlineStr">
        <is>
          <t>ORD-2025-017</t>
        </is>
      </c>
      <c r="B18" s="2" t="inlineStr">
        <is>
          <t>2025-04-01</t>
        </is>
      </c>
      <c r="C18" s="2" t="inlineStr">
        <is>
          <t>Kavita Sharma</t>
        </is>
      </c>
      <c r="D18" s="2" t="inlineStr">
        <is>
          <t>Consumer</t>
        </is>
      </c>
      <c r="E18" s="2" t="inlineStr">
        <is>
          <t>North</t>
        </is>
      </c>
      <c r="F18" s="2" t="inlineStr">
        <is>
          <t>PRD-003</t>
        </is>
      </c>
      <c r="G18" s="2">
        <f>INDEX(Lookup_Table!:, MATCH(F18, Lookup_Table!:, 0))</f>
        <v/>
      </c>
      <c r="H18" s="3" t="n">
        <v>4</v>
      </c>
      <c r="I18" s="4" t="n">
        <v>35000</v>
      </c>
      <c r="J18" s="4">
        <f>H18*I18</f>
        <v/>
      </c>
      <c r="K18" s="5" t="n">
        <v>0.1</v>
      </c>
      <c r="L18" s="4">
        <f>J18*K18</f>
        <v/>
      </c>
      <c r="M18" s="4">
        <f>J18-L18</f>
        <v/>
      </c>
      <c r="N18" s="4">
        <f>ROUND(H18*I18*0.60, 2)</f>
        <v/>
      </c>
      <c r="O18" s="4">
        <f>M18-N18</f>
        <v/>
      </c>
      <c r="P18" s="5">
        <f>O18/M18</f>
        <v/>
      </c>
    </row>
    <row r="19">
      <c r="A19" s="2" t="inlineStr">
        <is>
          <t>ORD-2025-018</t>
        </is>
      </c>
      <c r="B19" s="2" t="inlineStr">
        <is>
          <t>2025-06-15</t>
        </is>
      </c>
      <c r="C19" s="2" t="inlineStr">
        <is>
          <t>Rajesh Agarwal</t>
        </is>
      </c>
      <c r="D19" s="2" t="inlineStr">
        <is>
          <t>Consumer</t>
        </is>
      </c>
      <c r="E19" s="2" t="inlineStr">
        <is>
          <t>North</t>
        </is>
      </c>
      <c r="F19" s="2" t="inlineStr">
        <is>
          <t>PRD-006</t>
        </is>
      </c>
      <c r="G19" s="2">
        <f>INDEX(Lookup_Table!:, MATCH(F19, Lookup_Table!:, 0))</f>
        <v/>
      </c>
      <c r="H19" s="3" t="n">
        <v>2</v>
      </c>
      <c r="I19" s="4" t="n">
        <v>5000</v>
      </c>
      <c r="J19" s="4">
        <f>H19*I19</f>
        <v/>
      </c>
      <c r="K19" s="5" t="n">
        <v>0.05</v>
      </c>
      <c r="L19" s="4">
        <f>J19*K19</f>
        <v/>
      </c>
      <c r="M19" s="4">
        <f>J19-L19</f>
        <v/>
      </c>
      <c r="N19" s="4">
        <f>ROUND(H19*I19*0.40, 2)</f>
        <v/>
      </c>
      <c r="O19" s="4">
        <f>M19-N19</f>
        <v/>
      </c>
      <c r="P19" s="5">
        <f>O19/M19</f>
        <v/>
      </c>
    </row>
    <row r="20">
      <c r="A20" s="2" t="inlineStr">
        <is>
          <t>ORD-2025-019</t>
        </is>
      </c>
      <c r="B20" s="2" t="inlineStr">
        <is>
          <t>2025-03-04</t>
        </is>
      </c>
      <c r="C20" s="2" t="inlineStr">
        <is>
          <t>Quantum Global Funds</t>
        </is>
      </c>
      <c r="D20" s="2" t="inlineStr">
        <is>
          <t>Corporate</t>
        </is>
      </c>
      <c r="E20" s="2" t="inlineStr">
        <is>
          <t>West</t>
        </is>
      </c>
      <c r="F20" s="2" t="inlineStr">
        <is>
          <t>PRD-006</t>
        </is>
      </c>
      <c r="G20" s="2">
        <f>INDEX(Lookup_Table!:, MATCH(F20, Lookup_Table!:, 0))</f>
        <v/>
      </c>
      <c r="H20" s="3" t="n">
        <v>3</v>
      </c>
      <c r="I20" s="4" t="n">
        <v>5000</v>
      </c>
      <c r="J20" s="4">
        <f>H20*I20</f>
        <v/>
      </c>
      <c r="K20" s="5" t="n">
        <v>0.15</v>
      </c>
      <c r="L20" s="4">
        <f>J20*K20</f>
        <v/>
      </c>
      <c r="M20" s="4">
        <f>J20-L20</f>
        <v/>
      </c>
      <c r="N20" s="4">
        <f>ROUND(H20*I20*0.40, 2)</f>
        <v/>
      </c>
      <c r="O20" s="4">
        <f>M20-N20</f>
        <v/>
      </c>
      <c r="P20" s="5">
        <f>O20/M20</f>
        <v/>
      </c>
    </row>
    <row r="21">
      <c r="A21" s="2" t="inlineStr">
        <is>
          <t>ORD-2025-020</t>
        </is>
      </c>
      <c r="B21" s="2" t="inlineStr">
        <is>
          <t>2025-06-13</t>
        </is>
      </c>
      <c r="C21" s="2" t="inlineStr">
        <is>
          <t>Ananya Deshmukh</t>
        </is>
      </c>
      <c r="D21" s="2" t="inlineStr">
        <is>
          <t>Consumer</t>
        </is>
      </c>
      <c r="E21" s="2" t="inlineStr">
        <is>
          <t>West</t>
        </is>
      </c>
      <c r="F21" s="2" t="inlineStr">
        <is>
          <t>PRD-003</t>
        </is>
      </c>
      <c r="G21" s="2">
        <f>INDEX(Lookup_Table!:, MATCH(F21, Lookup_Table!:, 0))</f>
        <v/>
      </c>
      <c r="H21" s="3" t="n">
        <v>12</v>
      </c>
      <c r="I21" s="4" t="n">
        <v>35000</v>
      </c>
      <c r="J21" s="4">
        <f>H21*I21</f>
        <v/>
      </c>
      <c r="K21" s="5" t="n">
        <v>0.05</v>
      </c>
      <c r="L21" s="4">
        <f>J21*K21</f>
        <v/>
      </c>
      <c r="M21" s="4">
        <f>J21-L21</f>
        <v/>
      </c>
      <c r="N21" s="4">
        <f>ROUND(H21*I21*0.60, 2)</f>
        <v/>
      </c>
      <c r="O21" s="4">
        <f>M21-N21</f>
        <v/>
      </c>
      <c r="P21" s="5">
        <f>O21/M21</f>
        <v/>
      </c>
    </row>
    <row r="22">
      <c r="A22" s="2" t="inlineStr">
        <is>
          <t>ORD-2025-021</t>
        </is>
      </c>
      <c r="B22" s="2" t="inlineStr">
        <is>
          <t>2025-01-15</t>
        </is>
      </c>
      <c r="C22" s="2" t="inlineStr">
        <is>
          <t>Monsoon Capital Advisors</t>
        </is>
      </c>
      <c r="D22" s="2" t="inlineStr">
        <is>
          <t>Corporate</t>
        </is>
      </c>
      <c r="E22" s="2" t="inlineStr">
        <is>
          <t>East</t>
        </is>
      </c>
      <c r="F22" s="2" t="inlineStr">
        <is>
          <t>PRD-003</t>
        </is>
      </c>
      <c r="G22" s="2">
        <f>INDEX(Lookup_Table!:, MATCH(F22, Lookup_Table!:, 0))</f>
        <v/>
      </c>
      <c r="H22" s="3" t="n">
        <v>4</v>
      </c>
      <c r="I22" s="4" t="n">
        <v>35000</v>
      </c>
      <c r="J22" s="4">
        <f>H22*I22</f>
        <v/>
      </c>
      <c r="K22" s="5" t="n">
        <v>0</v>
      </c>
      <c r="L22" s="4">
        <f>J22*K22</f>
        <v/>
      </c>
      <c r="M22" s="4">
        <f>J22-L22</f>
        <v/>
      </c>
      <c r="N22" s="4">
        <f>ROUND(H22*I22*0.60, 2)</f>
        <v/>
      </c>
      <c r="O22" s="4">
        <f>M22-N22</f>
        <v/>
      </c>
      <c r="P22" s="5">
        <f>O22/M22</f>
        <v/>
      </c>
    </row>
    <row r="23">
      <c r="A23" s="2" t="inlineStr">
        <is>
          <t>ORD-2025-022</t>
        </is>
      </c>
      <c r="B23" s="2" t="inlineStr">
        <is>
          <t>2025-04-13</t>
        </is>
      </c>
      <c r="C23" s="2" t="inlineStr">
        <is>
          <t>Bengaluru Quant Desk</t>
        </is>
      </c>
      <c r="D23" s="2" t="inlineStr">
        <is>
          <t>FinTech Pro</t>
        </is>
      </c>
      <c r="E23" s="2" t="inlineStr">
        <is>
          <t>South</t>
        </is>
      </c>
      <c r="F23" s="2" t="inlineStr">
        <is>
          <t>PRD-003</t>
        </is>
      </c>
      <c r="G23" s="2">
        <f>INDEX(Lookup_Table!:, MATCH(F23, Lookup_Table!:, 0))</f>
        <v/>
      </c>
      <c r="H23" s="3" t="n">
        <v>5</v>
      </c>
      <c r="I23" s="4" t="n">
        <v>35000</v>
      </c>
      <c r="J23" s="4">
        <f>H23*I23</f>
        <v/>
      </c>
      <c r="K23" s="5" t="n">
        <v>0</v>
      </c>
      <c r="L23" s="4">
        <f>J23*K23</f>
        <v/>
      </c>
      <c r="M23" s="4">
        <f>J23-L23</f>
        <v/>
      </c>
      <c r="N23" s="4">
        <f>ROUND(H23*I23*0.60, 2)</f>
        <v/>
      </c>
      <c r="O23" s="4">
        <f>M23-N23</f>
        <v/>
      </c>
      <c r="P23" s="5">
        <f>O23/M23</f>
        <v/>
      </c>
    </row>
    <row r="24">
      <c r="A24" s="2" t="inlineStr">
        <is>
          <t>ORD-2025-023</t>
        </is>
      </c>
      <c r="B24" s="2" t="inlineStr">
        <is>
          <t>2025-03-22</t>
        </is>
      </c>
      <c r="C24" s="2" t="inlineStr">
        <is>
          <t>Rohit Verma</t>
        </is>
      </c>
      <c r="D24" s="2" t="inlineStr">
        <is>
          <t>Consumer</t>
        </is>
      </c>
      <c r="E24" s="2" t="inlineStr">
        <is>
          <t>South</t>
        </is>
      </c>
      <c r="F24" s="2" t="inlineStr">
        <is>
          <t>PRD-005</t>
        </is>
      </c>
      <c r="G24" s="2">
        <f>INDEX(Lookup_Table!:, MATCH(F24, Lookup_Table!:, 0))</f>
        <v/>
      </c>
      <c r="H24" s="3" t="n">
        <v>4</v>
      </c>
      <c r="I24" s="4" t="n">
        <v>15000</v>
      </c>
      <c r="J24" s="4">
        <f>H24*I24</f>
        <v/>
      </c>
      <c r="K24" s="5" t="n">
        <v>0.15</v>
      </c>
      <c r="L24" s="4">
        <f>J24*K24</f>
        <v/>
      </c>
      <c r="M24" s="4">
        <f>J24-L24</f>
        <v/>
      </c>
      <c r="N24" s="4">
        <f>ROUND(H24*I24*0.50, 2)</f>
        <v/>
      </c>
      <c r="O24" s="4">
        <f>M24-N24</f>
        <v/>
      </c>
      <c r="P24" s="5">
        <f>O24/M24</f>
        <v/>
      </c>
    </row>
    <row r="25">
      <c r="A25" s="2" t="inlineStr">
        <is>
          <t>ORD-2025-024</t>
        </is>
      </c>
      <c r="B25" s="2" t="inlineStr">
        <is>
          <t>2025-04-28</t>
        </is>
      </c>
      <c r="C25" s="2" t="inlineStr">
        <is>
          <t>Ananya Deshmukh</t>
        </is>
      </c>
      <c r="D25" s="2" t="inlineStr">
        <is>
          <t>Consumer</t>
        </is>
      </c>
      <c r="E25" s="2" t="inlineStr">
        <is>
          <t>West</t>
        </is>
      </c>
      <c r="F25" s="2" t="inlineStr">
        <is>
          <t>PRD-006</t>
        </is>
      </c>
      <c r="G25" s="2">
        <f>INDEX(Lookup_Table!:, MATCH(F25, Lookup_Table!:, 0))</f>
        <v/>
      </c>
      <c r="H25" s="3" t="n">
        <v>3</v>
      </c>
      <c r="I25" s="4" t="n">
        <v>5000</v>
      </c>
      <c r="J25" s="4">
        <f>H25*I25</f>
        <v/>
      </c>
      <c r="K25" s="5" t="n">
        <v>0.1</v>
      </c>
      <c r="L25" s="4">
        <f>J25*K25</f>
        <v/>
      </c>
      <c r="M25" s="4">
        <f>J25-L25</f>
        <v/>
      </c>
      <c r="N25" s="4">
        <f>ROUND(H25*I25*0.40, 2)</f>
        <v/>
      </c>
      <c r="O25" s="4">
        <f>M25-N25</f>
        <v/>
      </c>
      <c r="P25" s="5">
        <f>O25/M25</f>
        <v/>
      </c>
    </row>
    <row r="26">
      <c r="A26" s="2" t="inlineStr">
        <is>
          <t>ORD-2025-025</t>
        </is>
      </c>
      <c r="B26" s="2" t="inlineStr">
        <is>
          <t>2025-05-24</t>
        </is>
      </c>
      <c r="C26" s="2" t="inlineStr">
        <is>
          <t>Kavita Sharma</t>
        </is>
      </c>
      <c r="D26" s="2" t="inlineStr">
        <is>
          <t>Consumer</t>
        </is>
      </c>
      <c r="E26" s="2" t="inlineStr">
        <is>
          <t>North</t>
        </is>
      </c>
      <c r="F26" s="2" t="inlineStr">
        <is>
          <t>PRD-002</t>
        </is>
      </c>
      <c r="G26" s="2">
        <f>INDEX(Lookup_Table!:, MATCH(F26, Lookup_Table!:, 0))</f>
        <v/>
      </c>
      <c r="H26" s="3" t="n">
        <v>9</v>
      </c>
      <c r="I26" s="4" t="n">
        <v>25000</v>
      </c>
      <c r="J26" s="4">
        <f>H26*I26</f>
        <v/>
      </c>
      <c r="K26" s="5" t="n">
        <v>0.1</v>
      </c>
      <c r="L26" s="4">
        <f>J26*K26</f>
        <v/>
      </c>
      <c r="M26" s="4">
        <f>J26-L26</f>
        <v/>
      </c>
      <c r="N26" s="4">
        <f>ROUND(H26*I26*0.55, 2)</f>
        <v/>
      </c>
      <c r="O26" s="4">
        <f>M26-N26</f>
        <v/>
      </c>
      <c r="P26" s="5">
        <f>O26/M26</f>
        <v/>
      </c>
    </row>
    <row r="27">
      <c r="A27" s="2" t="inlineStr">
        <is>
          <t>ORD-2025-026</t>
        </is>
      </c>
      <c r="B27" s="2" t="inlineStr">
        <is>
          <t>2025-04-20</t>
        </is>
      </c>
      <c r="C27" s="2" t="inlineStr">
        <is>
          <t>Rajesh Agarwal</t>
        </is>
      </c>
      <c r="D27" s="2" t="inlineStr">
        <is>
          <t>Consumer</t>
        </is>
      </c>
      <c r="E27" s="2" t="inlineStr">
        <is>
          <t>North</t>
        </is>
      </c>
      <c r="F27" s="2" t="inlineStr">
        <is>
          <t>PRD-005</t>
        </is>
      </c>
      <c r="G27" s="2">
        <f>INDEX(Lookup_Table!:, MATCH(F27, Lookup_Table!:, 0))</f>
        <v/>
      </c>
      <c r="H27" s="3" t="n">
        <v>10</v>
      </c>
      <c r="I27" s="4" t="n">
        <v>15000</v>
      </c>
      <c r="J27" s="4">
        <f>H27*I27</f>
        <v/>
      </c>
      <c r="K27" s="5" t="n">
        <v>0.15</v>
      </c>
      <c r="L27" s="4">
        <f>J27*K27</f>
        <v/>
      </c>
      <c r="M27" s="4">
        <f>J27-L27</f>
        <v/>
      </c>
      <c r="N27" s="4">
        <f>ROUND(H27*I27*0.50, 2)</f>
        <v/>
      </c>
      <c r="O27" s="4">
        <f>M27-N27</f>
        <v/>
      </c>
      <c r="P27" s="5">
        <f>O27/M27</f>
        <v/>
      </c>
    </row>
    <row r="28">
      <c r="A28" s="2" t="inlineStr">
        <is>
          <t>ORD-2025-027</t>
        </is>
      </c>
      <c r="B28" s="2" t="inlineStr">
        <is>
          <t>2025-02-05</t>
        </is>
      </c>
      <c r="C28" s="2" t="inlineStr">
        <is>
          <t>Nexus Algo Labs</t>
        </is>
      </c>
      <c r="D28" s="2" t="inlineStr">
        <is>
          <t>FinTech Pro</t>
        </is>
      </c>
      <c r="E28" s="2" t="inlineStr">
        <is>
          <t>South</t>
        </is>
      </c>
      <c r="F28" s="2" t="inlineStr">
        <is>
          <t>PRD-002</t>
        </is>
      </c>
      <c r="G28" s="2">
        <f>INDEX(Lookup_Table!:, MATCH(F28, Lookup_Table!:, 0))</f>
        <v/>
      </c>
      <c r="H28" s="3" t="n">
        <v>9</v>
      </c>
      <c r="I28" s="4" t="n">
        <v>25000</v>
      </c>
      <c r="J28" s="4">
        <f>H28*I28</f>
        <v/>
      </c>
      <c r="K28" s="5" t="n">
        <v>0.15</v>
      </c>
      <c r="L28" s="4">
        <f>J28*K28</f>
        <v/>
      </c>
      <c r="M28" s="4">
        <f>J28-L28</f>
        <v/>
      </c>
      <c r="N28" s="4">
        <f>ROUND(H28*I28*0.55, 2)</f>
        <v/>
      </c>
      <c r="O28" s="4">
        <f>M28-N28</f>
        <v/>
      </c>
      <c r="P28" s="5">
        <f>O28/M28</f>
        <v/>
      </c>
    </row>
    <row r="29">
      <c r="A29" s="2" t="inlineStr">
        <is>
          <t>ORD-2025-028</t>
        </is>
      </c>
      <c r="B29" s="2" t="inlineStr">
        <is>
          <t>2025-01-29</t>
        </is>
      </c>
      <c r="C29" s="2" t="inlineStr">
        <is>
          <t>Zenith Capital</t>
        </is>
      </c>
      <c r="D29" s="2" t="inlineStr">
        <is>
          <t>Corporate</t>
        </is>
      </c>
      <c r="E29" s="2" t="inlineStr">
        <is>
          <t>West</t>
        </is>
      </c>
      <c r="F29" s="2" t="inlineStr">
        <is>
          <t>PRD-001</t>
        </is>
      </c>
      <c r="G29" s="2">
        <f>INDEX(Lookup_Table!:, MATCH(F29, Lookup_Table!:, 0))</f>
        <v/>
      </c>
      <c r="H29" s="3" t="n">
        <v>3</v>
      </c>
      <c r="I29" s="4" t="n">
        <v>45000</v>
      </c>
      <c r="J29" s="4">
        <f>H29*I29</f>
        <v/>
      </c>
      <c r="K29" s="5" t="n">
        <v>0.05</v>
      </c>
      <c r="L29" s="4">
        <f>J29*K29</f>
        <v/>
      </c>
      <c r="M29" s="4">
        <f>J29-L29</f>
        <v/>
      </c>
      <c r="N29" s="4">
        <f>ROUND(H29*I29*0.65, 2)</f>
        <v/>
      </c>
      <c r="O29" s="4">
        <f>M29-N29</f>
        <v/>
      </c>
      <c r="P29" s="5">
        <f>O29/M29</f>
        <v/>
      </c>
    </row>
    <row r="30">
      <c r="A30" s="2" t="inlineStr">
        <is>
          <t>ORD-2025-029</t>
        </is>
      </c>
      <c r="B30" s="2" t="inlineStr">
        <is>
          <t>2025-04-19</t>
        </is>
      </c>
      <c r="C30" s="2" t="inlineStr">
        <is>
          <t>Bengaluru Quant Desk</t>
        </is>
      </c>
      <c r="D30" s="2" t="inlineStr">
        <is>
          <t>FinTech Pro</t>
        </is>
      </c>
      <c r="E30" s="2" t="inlineStr">
        <is>
          <t>South</t>
        </is>
      </c>
      <c r="F30" s="2" t="inlineStr">
        <is>
          <t>PRD-006</t>
        </is>
      </c>
      <c r="G30" s="2">
        <f>INDEX(Lookup_Table!:, MATCH(F30, Lookup_Table!:, 0))</f>
        <v/>
      </c>
      <c r="H30" s="3" t="n">
        <v>10</v>
      </c>
      <c r="I30" s="4" t="n">
        <v>5000</v>
      </c>
      <c r="J30" s="4">
        <f>H30*I30</f>
        <v/>
      </c>
      <c r="K30" s="5" t="n">
        <v>0</v>
      </c>
      <c r="L30" s="4">
        <f>J30*K30</f>
        <v/>
      </c>
      <c r="M30" s="4">
        <f>J30-L30</f>
        <v/>
      </c>
      <c r="N30" s="4">
        <f>ROUND(H30*I30*0.40, 2)</f>
        <v/>
      </c>
      <c r="O30" s="4">
        <f>M30-N30</f>
        <v/>
      </c>
      <c r="P30" s="5">
        <f>O30/M30</f>
        <v/>
      </c>
    </row>
    <row r="31">
      <c r="A31" s="2" t="inlineStr">
        <is>
          <t>ORD-2025-030</t>
        </is>
      </c>
      <c r="B31" s="2" t="inlineStr">
        <is>
          <t>2025-06-02</t>
        </is>
      </c>
      <c r="C31" s="2" t="inlineStr">
        <is>
          <t>Ananya Deshmukh</t>
        </is>
      </c>
      <c r="D31" s="2" t="inlineStr">
        <is>
          <t>Consumer</t>
        </is>
      </c>
      <c r="E31" s="2" t="inlineStr">
        <is>
          <t>West</t>
        </is>
      </c>
      <c r="F31" s="2" t="inlineStr">
        <is>
          <t>PRD-004</t>
        </is>
      </c>
      <c r="G31" s="2">
        <f>INDEX(Lookup_Table!:, MATCH(F31, Lookup_Table!:, 0))</f>
        <v/>
      </c>
      <c r="H31" s="3" t="n">
        <v>8</v>
      </c>
      <c r="I31" s="4" t="n">
        <v>20000</v>
      </c>
      <c r="J31" s="4">
        <f>H31*I31</f>
        <v/>
      </c>
      <c r="K31" s="5" t="n">
        <v>0.1</v>
      </c>
      <c r="L31" s="4">
        <f>J31*K31</f>
        <v/>
      </c>
      <c r="M31" s="4">
        <f>J31-L31</f>
        <v/>
      </c>
      <c r="N31" s="4">
        <f>ROUND(H31*I31*0.70, 2)</f>
        <v/>
      </c>
      <c r="O31" s="4">
        <f>M31-N31</f>
        <v/>
      </c>
      <c r="P31" s="5">
        <f>O31/M31</f>
        <v/>
      </c>
    </row>
    <row r="32">
      <c r="A32" s="2" t="inlineStr">
        <is>
          <t>ORD-2025-031</t>
        </is>
      </c>
      <c r="B32" s="2" t="inlineStr">
        <is>
          <t>2025-06-24</t>
        </is>
      </c>
      <c r="C32" s="2" t="inlineStr">
        <is>
          <t>Quantum Global Funds</t>
        </is>
      </c>
      <c r="D32" s="2" t="inlineStr">
        <is>
          <t>Corporate</t>
        </is>
      </c>
      <c r="E32" s="2" t="inlineStr">
        <is>
          <t>West</t>
        </is>
      </c>
      <c r="F32" s="2" t="inlineStr">
        <is>
          <t>PRD-001</t>
        </is>
      </c>
      <c r="G32" s="2">
        <f>INDEX(Lookup_Table!:, MATCH(F32, Lookup_Table!:, 0))</f>
        <v/>
      </c>
      <c r="H32" s="3" t="n">
        <v>12</v>
      </c>
      <c r="I32" s="4" t="n">
        <v>45000</v>
      </c>
      <c r="J32" s="4">
        <f>H32*I32</f>
        <v/>
      </c>
      <c r="K32" s="5" t="n">
        <v>0</v>
      </c>
      <c r="L32" s="4">
        <f>J32*K32</f>
        <v/>
      </c>
      <c r="M32" s="4">
        <f>J32-L32</f>
        <v/>
      </c>
      <c r="N32" s="4">
        <f>ROUND(H32*I32*0.65, 2)</f>
        <v/>
      </c>
      <c r="O32" s="4">
        <f>M32-N32</f>
        <v/>
      </c>
      <c r="P32" s="5">
        <f>O32/M32</f>
        <v/>
      </c>
    </row>
    <row r="33">
      <c r="A33" s="2" t="inlineStr">
        <is>
          <t>ORD-2025-032</t>
        </is>
      </c>
      <c r="B33" s="2" t="inlineStr">
        <is>
          <t>2025-03-10</t>
        </is>
      </c>
      <c r="C33" s="2" t="inlineStr">
        <is>
          <t>Monsoon Capital Advisors</t>
        </is>
      </c>
      <c r="D33" s="2" t="inlineStr">
        <is>
          <t>Corporate</t>
        </is>
      </c>
      <c r="E33" s="2" t="inlineStr">
        <is>
          <t>East</t>
        </is>
      </c>
      <c r="F33" s="2" t="inlineStr">
        <is>
          <t>PRD-005</t>
        </is>
      </c>
      <c r="G33" s="2">
        <f>INDEX(Lookup_Table!:, MATCH(F33, Lookup_Table!:, 0))</f>
        <v/>
      </c>
      <c r="H33" s="3" t="n">
        <v>11</v>
      </c>
      <c r="I33" s="4" t="n">
        <v>15000</v>
      </c>
      <c r="J33" s="4">
        <f>H33*I33</f>
        <v/>
      </c>
      <c r="K33" s="5" t="n">
        <v>0.1</v>
      </c>
      <c r="L33" s="4">
        <f>J33*K33</f>
        <v/>
      </c>
      <c r="M33" s="4">
        <f>J33-L33</f>
        <v/>
      </c>
      <c r="N33" s="4">
        <f>ROUND(H33*I33*0.50, 2)</f>
        <v/>
      </c>
      <c r="O33" s="4">
        <f>M33-N33</f>
        <v/>
      </c>
      <c r="P33" s="5">
        <f>O33/M33</f>
        <v/>
      </c>
    </row>
    <row r="34">
      <c r="A34" s="2" t="inlineStr">
        <is>
          <t>ORD-2025-033</t>
        </is>
      </c>
      <c r="B34" s="2" t="inlineStr">
        <is>
          <t>2025-04-22</t>
        </is>
      </c>
      <c r="C34" s="2" t="inlineStr">
        <is>
          <t>Zenith Capital</t>
        </is>
      </c>
      <c r="D34" s="2" t="inlineStr">
        <is>
          <t>Corporate</t>
        </is>
      </c>
      <c r="E34" s="2" t="inlineStr">
        <is>
          <t>West</t>
        </is>
      </c>
      <c r="F34" s="2" t="inlineStr">
        <is>
          <t>PRD-003</t>
        </is>
      </c>
      <c r="G34" s="2">
        <f>INDEX(Lookup_Table!:, MATCH(F34, Lookup_Table!:, 0))</f>
        <v/>
      </c>
      <c r="H34" s="3" t="n">
        <v>3</v>
      </c>
      <c r="I34" s="4" t="n">
        <v>35000</v>
      </c>
      <c r="J34" s="4">
        <f>H34*I34</f>
        <v/>
      </c>
      <c r="K34" s="5" t="n">
        <v>0.15</v>
      </c>
      <c r="L34" s="4">
        <f>J34*K34</f>
        <v/>
      </c>
      <c r="M34" s="4">
        <f>J34-L34</f>
        <v/>
      </c>
      <c r="N34" s="4">
        <f>ROUND(H34*I34*0.60, 2)</f>
        <v/>
      </c>
      <c r="O34" s="4">
        <f>M34-N34</f>
        <v/>
      </c>
      <c r="P34" s="5">
        <f>O34/M34</f>
        <v/>
      </c>
    </row>
    <row r="35">
      <c r="A35" s="2" t="inlineStr">
        <is>
          <t>ORD-2025-034</t>
        </is>
      </c>
      <c r="B35" s="2" t="inlineStr">
        <is>
          <t>2025-03-09</t>
        </is>
      </c>
      <c r="C35" s="2" t="inlineStr">
        <is>
          <t>Apex Wealth Advisors</t>
        </is>
      </c>
      <c r="D35" s="2" t="inlineStr">
        <is>
          <t>Corporate</t>
        </is>
      </c>
      <c r="E35" s="2" t="inlineStr">
        <is>
          <t>North</t>
        </is>
      </c>
      <c r="F35" s="2" t="inlineStr">
        <is>
          <t>PRD-006</t>
        </is>
      </c>
      <c r="G35" s="2">
        <f>INDEX(Lookup_Table!:, MATCH(F35, Lookup_Table!:, 0))</f>
        <v/>
      </c>
      <c r="H35" s="3" t="n">
        <v>9</v>
      </c>
      <c r="I35" s="4" t="n">
        <v>5000</v>
      </c>
      <c r="J35" s="4">
        <f>H35*I35</f>
        <v/>
      </c>
      <c r="K35" s="5" t="n">
        <v>0.05</v>
      </c>
      <c r="L35" s="4">
        <f>J35*K35</f>
        <v/>
      </c>
      <c r="M35" s="4">
        <f>J35-L35</f>
        <v/>
      </c>
      <c r="N35" s="4">
        <f>ROUND(H35*I35*0.40, 2)</f>
        <v/>
      </c>
      <c r="O35" s="4">
        <f>M35-N35</f>
        <v/>
      </c>
      <c r="P35" s="5">
        <f>O35/M35</f>
        <v/>
      </c>
    </row>
    <row r="36">
      <c r="A36" s="2" t="inlineStr">
        <is>
          <t>ORD-2025-035</t>
        </is>
      </c>
      <c r="B36" s="2" t="inlineStr">
        <is>
          <t>2025-06-10</t>
        </is>
      </c>
      <c r="C36" s="2" t="inlineStr">
        <is>
          <t>Quantum Global Funds</t>
        </is>
      </c>
      <c r="D36" s="2" t="inlineStr">
        <is>
          <t>Corporate</t>
        </is>
      </c>
      <c r="E36" s="2" t="inlineStr">
        <is>
          <t>West</t>
        </is>
      </c>
      <c r="F36" s="2" t="inlineStr">
        <is>
          <t>PRD-001</t>
        </is>
      </c>
      <c r="G36" s="2">
        <f>INDEX(Lookup_Table!:, MATCH(F36, Lookup_Table!:, 0))</f>
        <v/>
      </c>
      <c r="H36" s="3" t="n">
        <v>5</v>
      </c>
      <c r="I36" s="4" t="n">
        <v>45000</v>
      </c>
      <c r="J36" s="4">
        <f>H36*I36</f>
        <v/>
      </c>
      <c r="K36" s="5" t="n">
        <v>0.05</v>
      </c>
      <c r="L36" s="4">
        <f>J36*K36</f>
        <v/>
      </c>
      <c r="M36" s="4">
        <f>J36-L36</f>
        <v/>
      </c>
      <c r="N36" s="4">
        <f>ROUND(H36*I36*0.65, 2)</f>
        <v/>
      </c>
      <c r="O36" s="4">
        <f>M36-N36</f>
        <v/>
      </c>
      <c r="P36" s="5">
        <f>O36/M36</f>
        <v/>
      </c>
    </row>
    <row r="37">
      <c r="A37" s="2" t="inlineStr">
        <is>
          <t>ORD-2025-036</t>
        </is>
      </c>
      <c r="B37" s="2" t="inlineStr">
        <is>
          <t>2025-02-11</t>
        </is>
      </c>
      <c r="C37" s="2" t="inlineStr">
        <is>
          <t>Kavita Sharma</t>
        </is>
      </c>
      <c r="D37" s="2" t="inlineStr">
        <is>
          <t>Consumer</t>
        </is>
      </c>
      <c r="E37" s="2" t="inlineStr">
        <is>
          <t>North</t>
        </is>
      </c>
      <c r="F37" s="2" t="inlineStr">
        <is>
          <t>PRD-003</t>
        </is>
      </c>
      <c r="G37" s="2">
        <f>INDEX(Lookup_Table!:, MATCH(F37, Lookup_Table!:, 0))</f>
        <v/>
      </c>
      <c r="H37" s="3" t="n">
        <v>9</v>
      </c>
      <c r="I37" s="4" t="n">
        <v>35000</v>
      </c>
      <c r="J37" s="4">
        <f>H37*I37</f>
        <v/>
      </c>
      <c r="K37" s="5" t="n">
        <v>0</v>
      </c>
      <c r="L37" s="4">
        <f>J37*K37</f>
        <v/>
      </c>
      <c r="M37" s="4">
        <f>J37-L37</f>
        <v/>
      </c>
      <c r="N37" s="4">
        <f>ROUND(H37*I37*0.60, 2)</f>
        <v/>
      </c>
      <c r="O37" s="4">
        <f>M37-N37</f>
        <v/>
      </c>
      <c r="P37" s="5">
        <f>O37/M37</f>
        <v/>
      </c>
    </row>
    <row r="38">
      <c r="A38" s="2" t="inlineStr">
        <is>
          <t>ORD-2025-037</t>
        </is>
      </c>
      <c r="B38" s="2" t="inlineStr">
        <is>
          <t>2025-05-06</t>
        </is>
      </c>
      <c r="C38" s="2" t="inlineStr">
        <is>
          <t>Vikas Singhania</t>
        </is>
      </c>
      <c r="D38" s="2" t="inlineStr">
        <is>
          <t>Consumer</t>
        </is>
      </c>
      <c r="E38" s="2" t="inlineStr">
        <is>
          <t>East</t>
        </is>
      </c>
      <c r="F38" s="2" t="inlineStr">
        <is>
          <t>PRD-003</t>
        </is>
      </c>
      <c r="G38" s="2">
        <f>INDEX(Lookup_Table!:, MATCH(F38, Lookup_Table!:, 0))</f>
        <v/>
      </c>
      <c r="H38" s="3" t="n">
        <v>1</v>
      </c>
      <c r="I38" s="4" t="n">
        <v>35000</v>
      </c>
      <c r="J38" s="4">
        <f>H38*I38</f>
        <v/>
      </c>
      <c r="K38" s="5" t="n">
        <v>0</v>
      </c>
      <c r="L38" s="4">
        <f>J38*K38</f>
        <v/>
      </c>
      <c r="M38" s="4">
        <f>J38-L38</f>
        <v/>
      </c>
      <c r="N38" s="4">
        <f>ROUND(H38*I38*0.60, 2)</f>
        <v/>
      </c>
      <c r="O38" s="4">
        <f>M38-N38</f>
        <v/>
      </c>
      <c r="P38" s="5">
        <f>O38/M38</f>
        <v/>
      </c>
    </row>
    <row r="39">
      <c r="A39" s="2" t="inlineStr">
        <is>
          <t>ORD-2025-038</t>
        </is>
      </c>
      <c r="B39" s="2" t="inlineStr">
        <is>
          <t>2025-03-20</t>
        </is>
      </c>
      <c r="C39" s="2" t="inlineStr">
        <is>
          <t>Kolkata Smart Equity</t>
        </is>
      </c>
      <c r="D39" s="2" t="inlineStr">
        <is>
          <t>Corporate</t>
        </is>
      </c>
      <c r="E39" s="2" t="inlineStr">
        <is>
          <t>East</t>
        </is>
      </c>
      <c r="F39" s="2" t="inlineStr">
        <is>
          <t>PRD-003</t>
        </is>
      </c>
      <c r="G39" s="2">
        <f>INDEX(Lookup_Table!:, MATCH(F39, Lookup_Table!:, 0))</f>
        <v/>
      </c>
      <c r="H39" s="3" t="n">
        <v>4</v>
      </c>
      <c r="I39" s="4" t="n">
        <v>35000</v>
      </c>
      <c r="J39" s="4">
        <f>H39*I39</f>
        <v/>
      </c>
      <c r="K39" s="5" t="n">
        <v>0</v>
      </c>
      <c r="L39" s="4">
        <f>J39*K39</f>
        <v/>
      </c>
      <c r="M39" s="4">
        <f>J39-L39</f>
        <v/>
      </c>
      <c r="N39" s="4">
        <f>ROUND(H39*I39*0.60, 2)</f>
        <v/>
      </c>
      <c r="O39" s="4">
        <f>M39-N39</f>
        <v/>
      </c>
      <c r="P39" s="5">
        <f>O39/M39</f>
        <v/>
      </c>
    </row>
    <row r="40">
      <c r="A40" s="2" t="inlineStr">
        <is>
          <t>ORD-2025-039</t>
        </is>
      </c>
      <c r="B40" s="2" t="inlineStr">
        <is>
          <t>2025-01-21</t>
        </is>
      </c>
      <c r="C40" s="2" t="inlineStr">
        <is>
          <t>Rohit Verma</t>
        </is>
      </c>
      <c r="D40" s="2" t="inlineStr">
        <is>
          <t>Consumer</t>
        </is>
      </c>
      <c r="E40" s="2" t="inlineStr">
        <is>
          <t>South</t>
        </is>
      </c>
      <c r="F40" s="2" t="inlineStr">
        <is>
          <t>PRD-005</t>
        </is>
      </c>
      <c r="G40" s="2">
        <f>INDEX(Lookup_Table!:, MATCH(F40, Lookup_Table!:, 0))</f>
        <v/>
      </c>
      <c r="H40" s="3" t="n">
        <v>2</v>
      </c>
      <c r="I40" s="4" t="n">
        <v>15000</v>
      </c>
      <c r="J40" s="4">
        <f>H40*I40</f>
        <v/>
      </c>
      <c r="K40" s="5" t="n">
        <v>0.15</v>
      </c>
      <c r="L40" s="4">
        <f>J40*K40</f>
        <v/>
      </c>
      <c r="M40" s="4">
        <f>J40-L40</f>
        <v/>
      </c>
      <c r="N40" s="4">
        <f>ROUND(H40*I40*0.50, 2)</f>
        <v/>
      </c>
      <c r="O40" s="4">
        <f>M40-N40</f>
        <v/>
      </c>
      <c r="P40" s="5">
        <f>O40/M40</f>
        <v/>
      </c>
    </row>
    <row r="41">
      <c r="A41" s="2" t="inlineStr">
        <is>
          <t>ORD-2025-040</t>
        </is>
      </c>
      <c r="B41" s="2" t="inlineStr">
        <is>
          <t>2025-05-17</t>
        </is>
      </c>
      <c r="C41" s="2" t="inlineStr">
        <is>
          <t>Mumbai High-Tech Assets</t>
        </is>
      </c>
      <c r="D41" s="2" t="inlineStr">
        <is>
          <t>Corporate</t>
        </is>
      </c>
      <c r="E41" s="2" t="inlineStr">
        <is>
          <t>West</t>
        </is>
      </c>
      <c r="F41" s="2" t="inlineStr">
        <is>
          <t>PRD-001</t>
        </is>
      </c>
      <c r="G41" s="2">
        <f>INDEX(Lookup_Table!:, MATCH(F41, Lookup_Table!:, 0))</f>
        <v/>
      </c>
      <c r="H41" s="3" t="n">
        <v>3</v>
      </c>
      <c r="I41" s="4" t="n">
        <v>45000</v>
      </c>
      <c r="J41" s="4">
        <f>H41*I41</f>
        <v/>
      </c>
      <c r="K41" s="5" t="n">
        <v>0.05</v>
      </c>
      <c r="L41" s="4">
        <f>J41*K41</f>
        <v/>
      </c>
      <c r="M41" s="4">
        <f>J41-L41</f>
        <v/>
      </c>
      <c r="N41" s="4">
        <f>ROUND(H41*I41*0.65, 2)</f>
        <v/>
      </c>
      <c r="O41" s="4">
        <f>M41-N41</f>
        <v/>
      </c>
      <c r="P41" s="5">
        <f>O41/M41</f>
        <v/>
      </c>
    </row>
    <row r="42">
      <c r="A42" s="2" t="inlineStr">
        <is>
          <t>ORD-2025-041</t>
        </is>
      </c>
      <c r="B42" s="2" t="inlineStr">
        <is>
          <t>2025-05-21</t>
        </is>
      </c>
      <c r="C42" s="2" t="inlineStr">
        <is>
          <t>Monsoon Capital Advisors</t>
        </is>
      </c>
      <c r="D42" s="2" t="inlineStr">
        <is>
          <t>Corporate</t>
        </is>
      </c>
      <c r="E42" s="2" t="inlineStr">
        <is>
          <t>East</t>
        </is>
      </c>
      <c r="F42" s="2" t="inlineStr">
        <is>
          <t>PRD-004</t>
        </is>
      </c>
      <c r="G42" s="2">
        <f>INDEX(Lookup_Table!:, MATCH(F42, Lookup_Table!:, 0))</f>
        <v/>
      </c>
      <c r="H42" s="3" t="n">
        <v>3</v>
      </c>
      <c r="I42" s="4" t="n">
        <v>20000</v>
      </c>
      <c r="J42" s="4">
        <f>H42*I42</f>
        <v/>
      </c>
      <c r="K42" s="5" t="n">
        <v>0.1</v>
      </c>
      <c r="L42" s="4">
        <f>J42*K42</f>
        <v/>
      </c>
      <c r="M42" s="4">
        <f>J42-L42</f>
        <v/>
      </c>
      <c r="N42" s="4">
        <f>ROUND(H42*I42*0.70, 2)</f>
        <v/>
      </c>
      <c r="O42" s="4">
        <f>M42-N42</f>
        <v/>
      </c>
      <c r="P42" s="5">
        <f>O42/M42</f>
        <v/>
      </c>
    </row>
    <row r="43">
      <c r="A43" s="2" t="inlineStr">
        <is>
          <t>ORD-2025-042</t>
        </is>
      </c>
      <c r="B43" s="2" t="inlineStr">
        <is>
          <t>2025-04-19</t>
        </is>
      </c>
      <c r="C43" s="2" t="inlineStr">
        <is>
          <t>Quantum Global Funds</t>
        </is>
      </c>
      <c r="D43" s="2" t="inlineStr">
        <is>
          <t>Corporate</t>
        </is>
      </c>
      <c r="E43" s="2" t="inlineStr">
        <is>
          <t>West</t>
        </is>
      </c>
      <c r="F43" s="2" t="inlineStr">
        <is>
          <t>PRD-005</t>
        </is>
      </c>
      <c r="G43" s="2">
        <f>INDEX(Lookup_Table!:, MATCH(F43, Lookup_Table!:, 0))</f>
        <v/>
      </c>
      <c r="H43" s="3" t="n">
        <v>4</v>
      </c>
      <c r="I43" s="4" t="n">
        <v>15000</v>
      </c>
      <c r="J43" s="4">
        <f>H43*I43</f>
        <v/>
      </c>
      <c r="K43" s="5" t="n">
        <v>0.05</v>
      </c>
      <c r="L43" s="4">
        <f>J43*K43</f>
        <v/>
      </c>
      <c r="M43" s="4">
        <f>J43-L43</f>
        <v/>
      </c>
      <c r="N43" s="4">
        <f>ROUND(H43*I43*0.50, 2)</f>
        <v/>
      </c>
      <c r="O43" s="4">
        <f>M43-N43</f>
        <v/>
      </c>
      <c r="P43" s="5">
        <f>O43/M43</f>
        <v/>
      </c>
    </row>
    <row r="44">
      <c r="A44" s="2" t="inlineStr">
        <is>
          <t>ORD-2025-043</t>
        </is>
      </c>
      <c r="B44" s="2" t="inlineStr">
        <is>
          <t>2025-04-13</t>
        </is>
      </c>
      <c r="C44" s="2" t="inlineStr">
        <is>
          <t>Rajesh Agarwal</t>
        </is>
      </c>
      <c r="D44" s="2" t="inlineStr">
        <is>
          <t>Consumer</t>
        </is>
      </c>
      <c r="E44" s="2" t="inlineStr">
        <is>
          <t>North</t>
        </is>
      </c>
      <c r="F44" s="2" t="inlineStr">
        <is>
          <t>PRD-003</t>
        </is>
      </c>
      <c r="G44" s="2">
        <f>INDEX(Lookup_Table!:, MATCH(F44, Lookup_Table!:, 0))</f>
        <v/>
      </c>
      <c r="H44" s="3" t="n">
        <v>11</v>
      </c>
      <c r="I44" s="4" t="n">
        <v>35000</v>
      </c>
      <c r="J44" s="4">
        <f>H44*I44</f>
        <v/>
      </c>
      <c r="K44" s="5" t="n">
        <v>0.1</v>
      </c>
      <c r="L44" s="4">
        <f>J44*K44</f>
        <v/>
      </c>
      <c r="M44" s="4">
        <f>J44-L44</f>
        <v/>
      </c>
      <c r="N44" s="4">
        <f>ROUND(H44*I44*0.60, 2)</f>
        <v/>
      </c>
      <c r="O44" s="4">
        <f>M44-N44</f>
        <v/>
      </c>
      <c r="P44" s="5">
        <f>O44/M44</f>
        <v/>
      </c>
    </row>
    <row r="45">
      <c r="A45" s="2" t="inlineStr">
        <is>
          <t>ORD-2025-044</t>
        </is>
      </c>
      <c r="B45" s="2" t="inlineStr">
        <is>
          <t>2025-04-26</t>
        </is>
      </c>
      <c r="C45" s="2" t="inlineStr">
        <is>
          <t>Pooja Nair</t>
        </is>
      </c>
      <c r="D45" s="2" t="inlineStr">
        <is>
          <t>Consumer</t>
        </is>
      </c>
      <c r="E45" s="2" t="inlineStr">
        <is>
          <t>South</t>
        </is>
      </c>
      <c r="F45" s="2" t="inlineStr">
        <is>
          <t>PRD-005</t>
        </is>
      </c>
      <c r="G45" s="2">
        <f>INDEX(Lookup_Table!:, MATCH(F45, Lookup_Table!:, 0))</f>
        <v/>
      </c>
      <c r="H45" s="3" t="n">
        <v>2</v>
      </c>
      <c r="I45" s="4" t="n">
        <v>15000</v>
      </c>
      <c r="J45" s="4">
        <f>H45*I45</f>
        <v/>
      </c>
      <c r="K45" s="5" t="n">
        <v>0.05</v>
      </c>
      <c r="L45" s="4">
        <f>J45*K45</f>
        <v/>
      </c>
      <c r="M45" s="4">
        <f>J45-L45</f>
        <v/>
      </c>
      <c r="N45" s="4">
        <f>ROUND(H45*I45*0.50, 2)</f>
        <v/>
      </c>
      <c r="O45" s="4">
        <f>M45-N45</f>
        <v/>
      </c>
      <c r="P45" s="5">
        <f>O45/M45</f>
        <v/>
      </c>
    </row>
    <row r="46">
      <c r="A46" s="2" t="inlineStr">
        <is>
          <t>ORD-2025-045</t>
        </is>
      </c>
      <c r="B46" s="2" t="inlineStr">
        <is>
          <t>2025-03-28</t>
        </is>
      </c>
      <c r="C46" s="2" t="inlineStr">
        <is>
          <t>Rohit Verma</t>
        </is>
      </c>
      <c r="D46" s="2" t="inlineStr">
        <is>
          <t>Consumer</t>
        </is>
      </c>
      <c r="E46" s="2" t="inlineStr">
        <is>
          <t>South</t>
        </is>
      </c>
      <c r="F46" s="2" t="inlineStr">
        <is>
          <t>PRD-001</t>
        </is>
      </c>
      <c r="G46" s="2">
        <f>INDEX(Lookup_Table!:, MATCH(F46, Lookup_Table!:, 0))</f>
        <v/>
      </c>
      <c r="H46" s="3" t="n">
        <v>1</v>
      </c>
      <c r="I46" s="4" t="n">
        <v>45000</v>
      </c>
      <c r="J46" s="4">
        <f>H46*I46</f>
        <v/>
      </c>
      <c r="K46" s="5" t="n">
        <v>0.05</v>
      </c>
      <c r="L46" s="4">
        <f>J46*K46</f>
        <v/>
      </c>
      <c r="M46" s="4">
        <f>J46-L46</f>
        <v/>
      </c>
      <c r="N46" s="4">
        <f>ROUND(H46*I46*0.65, 2)</f>
        <v/>
      </c>
      <c r="O46" s="4">
        <f>M46-N46</f>
        <v/>
      </c>
      <c r="P46" s="5">
        <f>O46/M46</f>
        <v/>
      </c>
    </row>
    <row r="47">
      <c r="A47" s="2" t="inlineStr">
        <is>
          <t>ORD-2025-046</t>
        </is>
      </c>
      <c r="B47" s="2" t="inlineStr">
        <is>
          <t>2025-01-02</t>
        </is>
      </c>
      <c r="C47" s="2" t="inlineStr">
        <is>
          <t>Vikas Singhania</t>
        </is>
      </c>
      <c r="D47" s="2" t="inlineStr">
        <is>
          <t>Consumer</t>
        </is>
      </c>
      <c r="E47" s="2" t="inlineStr">
        <is>
          <t>East</t>
        </is>
      </c>
      <c r="F47" s="2" t="inlineStr">
        <is>
          <t>PRD-002</t>
        </is>
      </c>
      <c r="G47" s="2">
        <f>INDEX(Lookup_Table!:, MATCH(F47, Lookup_Table!:, 0))</f>
        <v/>
      </c>
      <c r="H47" s="3" t="n">
        <v>2</v>
      </c>
      <c r="I47" s="4" t="n">
        <v>25000</v>
      </c>
      <c r="J47" s="4">
        <f>H47*I47</f>
        <v/>
      </c>
      <c r="K47" s="5" t="n">
        <v>0</v>
      </c>
      <c r="L47" s="4">
        <f>J47*K47</f>
        <v/>
      </c>
      <c r="M47" s="4">
        <f>J47-L47</f>
        <v/>
      </c>
      <c r="N47" s="4">
        <f>ROUND(H47*I47*0.55, 2)</f>
        <v/>
      </c>
      <c r="O47" s="4">
        <f>M47-N47</f>
        <v/>
      </c>
      <c r="P47" s="5">
        <f>O47/M47</f>
        <v/>
      </c>
    </row>
    <row r="48">
      <c r="A48" s="2" t="inlineStr">
        <is>
          <t>ORD-2025-047</t>
        </is>
      </c>
      <c r="B48" s="2" t="inlineStr">
        <is>
          <t>2025-01-09</t>
        </is>
      </c>
      <c r="C48" s="2" t="inlineStr">
        <is>
          <t>Rohit Verma</t>
        </is>
      </c>
      <c r="D48" s="2" t="inlineStr">
        <is>
          <t>Consumer</t>
        </is>
      </c>
      <c r="E48" s="2" t="inlineStr">
        <is>
          <t>South</t>
        </is>
      </c>
      <c r="F48" s="2" t="inlineStr">
        <is>
          <t>PRD-001</t>
        </is>
      </c>
      <c r="G48" s="2">
        <f>INDEX(Lookup_Table!:, MATCH(F48, Lookup_Table!:, 0))</f>
        <v/>
      </c>
      <c r="H48" s="3" t="n">
        <v>6</v>
      </c>
      <c r="I48" s="4" t="n">
        <v>45000</v>
      </c>
      <c r="J48" s="4">
        <f>H48*I48</f>
        <v/>
      </c>
      <c r="K48" s="5" t="n">
        <v>0</v>
      </c>
      <c r="L48" s="4">
        <f>J48*K48</f>
        <v/>
      </c>
      <c r="M48" s="4">
        <f>J48-L48</f>
        <v/>
      </c>
      <c r="N48" s="4">
        <f>ROUND(H48*I48*0.65, 2)</f>
        <v/>
      </c>
      <c r="O48" s="4">
        <f>M48-N48</f>
        <v/>
      </c>
      <c r="P48" s="5">
        <f>O48/M48</f>
        <v/>
      </c>
    </row>
    <row r="49">
      <c r="A49" s="2" t="inlineStr">
        <is>
          <t>ORD-2025-048</t>
        </is>
      </c>
      <c r="B49" s="2" t="inlineStr">
        <is>
          <t>2025-03-13</t>
        </is>
      </c>
      <c r="C49" s="2" t="inlineStr">
        <is>
          <t>Quantum Global Funds</t>
        </is>
      </c>
      <c r="D49" s="2" t="inlineStr">
        <is>
          <t>Corporate</t>
        </is>
      </c>
      <c r="E49" s="2" t="inlineStr">
        <is>
          <t>West</t>
        </is>
      </c>
      <c r="F49" s="2" t="inlineStr">
        <is>
          <t>PRD-002</t>
        </is>
      </c>
      <c r="G49" s="2">
        <f>INDEX(Lookup_Table!:, MATCH(F49, Lookup_Table!:, 0))</f>
        <v/>
      </c>
      <c r="H49" s="3" t="n">
        <v>11</v>
      </c>
      <c r="I49" s="4" t="n">
        <v>25000</v>
      </c>
      <c r="J49" s="4">
        <f>H49*I49</f>
        <v/>
      </c>
      <c r="K49" s="5" t="n">
        <v>0.15</v>
      </c>
      <c r="L49" s="4">
        <f>J49*K49</f>
        <v/>
      </c>
      <c r="M49" s="4">
        <f>J49-L49</f>
        <v/>
      </c>
      <c r="N49" s="4">
        <f>ROUND(H49*I49*0.55, 2)</f>
        <v/>
      </c>
      <c r="O49" s="4">
        <f>M49-N49</f>
        <v/>
      </c>
      <c r="P49" s="5">
        <f>O49/M49</f>
        <v/>
      </c>
    </row>
    <row r="50">
      <c r="A50" s="2" t="inlineStr">
        <is>
          <t>ORD-2025-049</t>
        </is>
      </c>
      <c r="B50" s="2" t="inlineStr">
        <is>
          <t>2025-02-03</t>
        </is>
      </c>
      <c r="C50" s="2" t="inlineStr">
        <is>
          <t>Rohit Verma</t>
        </is>
      </c>
      <c r="D50" s="2" t="inlineStr">
        <is>
          <t>Consumer</t>
        </is>
      </c>
      <c r="E50" s="2" t="inlineStr">
        <is>
          <t>South</t>
        </is>
      </c>
      <c r="F50" s="2" t="inlineStr">
        <is>
          <t>PRD-005</t>
        </is>
      </c>
      <c r="G50" s="2">
        <f>INDEX(Lookup_Table!:, MATCH(F50, Lookup_Table!:, 0))</f>
        <v/>
      </c>
      <c r="H50" s="3" t="n">
        <v>12</v>
      </c>
      <c r="I50" s="4" t="n">
        <v>15000</v>
      </c>
      <c r="J50" s="4">
        <f>H50*I50</f>
        <v/>
      </c>
      <c r="K50" s="5" t="n">
        <v>0.15</v>
      </c>
      <c r="L50" s="4">
        <f>J50*K50</f>
        <v/>
      </c>
      <c r="M50" s="4">
        <f>J50-L50</f>
        <v/>
      </c>
      <c r="N50" s="4">
        <f>ROUND(H50*I50*0.50, 2)</f>
        <v/>
      </c>
      <c r="O50" s="4">
        <f>M50-N50</f>
        <v/>
      </c>
      <c r="P50" s="5">
        <f>O50/M50</f>
        <v/>
      </c>
    </row>
    <row r="51">
      <c r="A51" s="2" t="inlineStr">
        <is>
          <t>ORD-2025-050</t>
        </is>
      </c>
      <c r="B51" s="2" t="inlineStr">
        <is>
          <t>2025-04-15</t>
        </is>
      </c>
      <c r="C51" s="2" t="inlineStr">
        <is>
          <t>Rohit Verma</t>
        </is>
      </c>
      <c r="D51" s="2" t="inlineStr">
        <is>
          <t>Consumer</t>
        </is>
      </c>
      <c r="E51" s="2" t="inlineStr">
        <is>
          <t>South</t>
        </is>
      </c>
      <c r="F51" s="2" t="inlineStr">
        <is>
          <t>PRD-004</t>
        </is>
      </c>
      <c r="G51" s="2">
        <f>INDEX(Lookup_Table!:, MATCH(F51, Lookup_Table!:, 0))</f>
        <v/>
      </c>
      <c r="H51" s="3" t="n">
        <v>4</v>
      </c>
      <c r="I51" s="4" t="n">
        <v>20000</v>
      </c>
      <c r="J51" s="4">
        <f>H51*I51</f>
        <v/>
      </c>
      <c r="K51" s="5" t="n">
        <v>0</v>
      </c>
      <c r="L51" s="4">
        <f>J51*K51</f>
        <v/>
      </c>
      <c r="M51" s="4">
        <f>J51-L51</f>
        <v/>
      </c>
      <c r="N51" s="4">
        <f>ROUND(H51*I51*0.70, 2)</f>
        <v/>
      </c>
      <c r="O51" s="4">
        <f>M51-N51</f>
        <v/>
      </c>
      <c r="P51" s="5">
        <f>O51/M51</f>
        <v/>
      </c>
    </row>
    <row r="52">
      <c r="A52" s="2" t="inlineStr">
        <is>
          <t>ORD-2025-051</t>
        </is>
      </c>
      <c r="B52" s="2" t="inlineStr">
        <is>
          <t>2025-04-21</t>
        </is>
      </c>
      <c r="C52" s="2" t="inlineStr">
        <is>
          <t>Zenith Capital</t>
        </is>
      </c>
      <c r="D52" s="2" t="inlineStr">
        <is>
          <t>Corporate</t>
        </is>
      </c>
      <c r="E52" s="2" t="inlineStr">
        <is>
          <t>West</t>
        </is>
      </c>
      <c r="F52" s="2" t="inlineStr">
        <is>
          <t>PRD-006</t>
        </is>
      </c>
      <c r="G52" s="2">
        <f>INDEX(Lookup_Table!:, MATCH(F52, Lookup_Table!:, 0))</f>
        <v/>
      </c>
      <c r="H52" s="3" t="n">
        <v>6</v>
      </c>
      <c r="I52" s="4" t="n">
        <v>5000</v>
      </c>
      <c r="J52" s="4">
        <f>H52*I52</f>
        <v/>
      </c>
      <c r="K52" s="5" t="n">
        <v>0.15</v>
      </c>
      <c r="L52" s="4">
        <f>J52*K52</f>
        <v/>
      </c>
      <c r="M52" s="4">
        <f>J52-L52</f>
        <v/>
      </c>
      <c r="N52" s="4">
        <f>ROUND(H52*I52*0.40, 2)</f>
        <v/>
      </c>
      <c r="O52" s="4">
        <f>M52-N52</f>
        <v/>
      </c>
      <c r="P52" s="5">
        <f>O52/M52</f>
        <v/>
      </c>
    </row>
    <row r="53">
      <c r="A53" s="2" t="inlineStr">
        <is>
          <t>ORD-2025-052</t>
        </is>
      </c>
      <c r="B53" s="2" t="inlineStr">
        <is>
          <t>2025-01-14</t>
        </is>
      </c>
      <c r="C53" s="2" t="inlineStr">
        <is>
          <t>Ananya Deshmukh</t>
        </is>
      </c>
      <c r="D53" s="2" t="inlineStr">
        <is>
          <t>Consumer</t>
        </is>
      </c>
      <c r="E53" s="2" t="inlineStr">
        <is>
          <t>West</t>
        </is>
      </c>
      <c r="F53" s="2" t="inlineStr">
        <is>
          <t>PRD-004</t>
        </is>
      </c>
      <c r="G53" s="2">
        <f>INDEX(Lookup_Table!:, MATCH(F53, Lookup_Table!:, 0))</f>
        <v/>
      </c>
      <c r="H53" s="3" t="n">
        <v>11</v>
      </c>
      <c r="I53" s="4" t="n">
        <v>20000</v>
      </c>
      <c r="J53" s="4">
        <f>H53*I53</f>
        <v/>
      </c>
      <c r="K53" s="5" t="n">
        <v>0</v>
      </c>
      <c r="L53" s="4">
        <f>J53*K53</f>
        <v/>
      </c>
      <c r="M53" s="4">
        <f>J53-L53</f>
        <v/>
      </c>
      <c r="N53" s="4">
        <f>ROUND(H53*I53*0.70, 2)</f>
        <v/>
      </c>
      <c r="O53" s="4">
        <f>M53-N53</f>
        <v/>
      </c>
      <c r="P53" s="5">
        <f>O53/M53</f>
        <v/>
      </c>
    </row>
    <row r="54">
      <c r="A54" s="2" t="inlineStr">
        <is>
          <t>ORD-2025-053</t>
        </is>
      </c>
      <c r="B54" s="2" t="inlineStr">
        <is>
          <t>2025-03-28</t>
        </is>
      </c>
      <c r="C54" s="2" t="inlineStr">
        <is>
          <t>Apex Wealth Advisors</t>
        </is>
      </c>
      <c r="D54" s="2" t="inlineStr">
        <is>
          <t>Corporate</t>
        </is>
      </c>
      <c r="E54" s="2" t="inlineStr">
        <is>
          <t>North</t>
        </is>
      </c>
      <c r="F54" s="2" t="inlineStr">
        <is>
          <t>PRD-004</t>
        </is>
      </c>
      <c r="G54" s="2">
        <f>INDEX(Lookup_Table!:, MATCH(F54, Lookup_Table!:, 0))</f>
        <v/>
      </c>
      <c r="H54" s="3" t="n">
        <v>2</v>
      </c>
      <c r="I54" s="4" t="n">
        <v>20000</v>
      </c>
      <c r="J54" s="4">
        <f>H54*I54</f>
        <v/>
      </c>
      <c r="K54" s="5" t="n">
        <v>0.05</v>
      </c>
      <c r="L54" s="4">
        <f>J54*K54</f>
        <v/>
      </c>
      <c r="M54" s="4">
        <f>J54-L54</f>
        <v/>
      </c>
      <c r="N54" s="4">
        <f>ROUND(H54*I54*0.70, 2)</f>
        <v/>
      </c>
      <c r="O54" s="4">
        <f>M54-N54</f>
        <v/>
      </c>
      <c r="P54" s="5">
        <f>O54/M54</f>
        <v/>
      </c>
    </row>
    <row r="55">
      <c r="A55" s="2" t="inlineStr">
        <is>
          <t>ORD-2025-054</t>
        </is>
      </c>
      <c r="B55" s="2" t="inlineStr">
        <is>
          <t>2025-05-18</t>
        </is>
      </c>
      <c r="C55" s="2" t="inlineStr">
        <is>
          <t>Rohit Verma</t>
        </is>
      </c>
      <c r="D55" s="2" t="inlineStr">
        <is>
          <t>Consumer</t>
        </is>
      </c>
      <c r="E55" s="2" t="inlineStr">
        <is>
          <t>South</t>
        </is>
      </c>
      <c r="F55" s="2" t="inlineStr">
        <is>
          <t>PRD-002</t>
        </is>
      </c>
      <c r="G55" s="2">
        <f>INDEX(Lookup_Table!:, MATCH(F55, Lookup_Table!:, 0))</f>
        <v/>
      </c>
      <c r="H55" s="3" t="n">
        <v>8</v>
      </c>
      <c r="I55" s="4" t="n">
        <v>25000</v>
      </c>
      <c r="J55" s="4">
        <f>H55*I55</f>
        <v/>
      </c>
      <c r="K55" s="5" t="n">
        <v>0.05</v>
      </c>
      <c r="L55" s="4">
        <f>J55*K55</f>
        <v/>
      </c>
      <c r="M55" s="4">
        <f>J55-L55</f>
        <v/>
      </c>
      <c r="N55" s="4">
        <f>ROUND(H55*I55*0.55, 2)</f>
        <v/>
      </c>
      <c r="O55" s="4">
        <f>M55-N55</f>
        <v/>
      </c>
      <c r="P55" s="5">
        <f>O55/M55</f>
        <v/>
      </c>
    </row>
    <row r="56">
      <c r="A56" s="2" t="inlineStr">
        <is>
          <t>ORD-2025-055</t>
        </is>
      </c>
      <c r="B56" s="2" t="inlineStr">
        <is>
          <t>2025-03-13</t>
        </is>
      </c>
      <c r="C56" s="2" t="inlineStr">
        <is>
          <t>Ananya Deshmukh</t>
        </is>
      </c>
      <c r="D56" s="2" t="inlineStr">
        <is>
          <t>Consumer</t>
        </is>
      </c>
      <c r="E56" s="2" t="inlineStr">
        <is>
          <t>West</t>
        </is>
      </c>
      <c r="F56" s="2" t="inlineStr">
        <is>
          <t>PRD-002</t>
        </is>
      </c>
      <c r="G56" s="2">
        <f>INDEX(Lookup_Table!:, MATCH(F56, Lookup_Table!:, 0))</f>
        <v/>
      </c>
      <c r="H56" s="3" t="n">
        <v>8</v>
      </c>
      <c r="I56" s="4" t="n">
        <v>25000</v>
      </c>
      <c r="J56" s="4">
        <f>H56*I56</f>
        <v/>
      </c>
      <c r="K56" s="5" t="n">
        <v>0.05</v>
      </c>
      <c r="L56" s="4">
        <f>J56*K56</f>
        <v/>
      </c>
      <c r="M56" s="4">
        <f>J56-L56</f>
        <v/>
      </c>
      <c r="N56" s="4">
        <f>ROUND(H56*I56*0.55, 2)</f>
        <v/>
      </c>
      <c r="O56" s="4">
        <f>M56-N56</f>
        <v/>
      </c>
      <c r="P56" s="5">
        <f>O56/M56</f>
        <v/>
      </c>
    </row>
    <row r="57">
      <c r="A57" s="2" t="inlineStr">
        <is>
          <t>ORD-2025-056</t>
        </is>
      </c>
      <c r="B57" s="2" t="inlineStr">
        <is>
          <t>2025-04-24</t>
        </is>
      </c>
      <c r="C57" s="2" t="inlineStr">
        <is>
          <t>Mumbai High-Tech Assets</t>
        </is>
      </c>
      <c r="D57" s="2" t="inlineStr">
        <is>
          <t>Corporate</t>
        </is>
      </c>
      <c r="E57" s="2" t="inlineStr">
        <is>
          <t>West</t>
        </is>
      </c>
      <c r="F57" s="2" t="inlineStr">
        <is>
          <t>PRD-001</t>
        </is>
      </c>
      <c r="G57" s="2">
        <f>INDEX(Lookup_Table!:, MATCH(F57, Lookup_Table!:, 0))</f>
        <v/>
      </c>
      <c r="H57" s="3" t="n">
        <v>9</v>
      </c>
      <c r="I57" s="4" t="n">
        <v>45000</v>
      </c>
      <c r="J57" s="4">
        <f>H57*I57</f>
        <v/>
      </c>
      <c r="K57" s="5" t="n">
        <v>0</v>
      </c>
      <c r="L57" s="4">
        <f>J57*K57</f>
        <v/>
      </c>
      <c r="M57" s="4">
        <f>J57-L57</f>
        <v/>
      </c>
      <c r="N57" s="4">
        <f>ROUND(H57*I57*0.65, 2)</f>
        <v/>
      </c>
      <c r="O57" s="4">
        <f>M57-N57</f>
        <v/>
      </c>
      <c r="P57" s="5">
        <f>O57/M57</f>
        <v/>
      </c>
    </row>
    <row r="58">
      <c r="A58" s="2" t="inlineStr">
        <is>
          <t>ORD-2025-057</t>
        </is>
      </c>
      <c r="B58" s="2" t="inlineStr">
        <is>
          <t>2025-05-19</t>
        </is>
      </c>
      <c r="C58" s="2" t="inlineStr">
        <is>
          <t>Apex Wealth Advisors</t>
        </is>
      </c>
      <c r="D58" s="2" t="inlineStr">
        <is>
          <t>Corporate</t>
        </is>
      </c>
      <c r="E58" s="2" t="inlineStr">
        <is>
          <t>North</t>
        </is>
      </c>
      <c r="F58" s="2" t="inlineStr">
        <is>
          <t>PRD-006</t>
        </is>
      </c>
      <c r="G58" s="2">
        <f>INDEX(Lookup_Table!:, MATCH(F58, Lookup_Table!:, 0))</f>
        <v/>
      </c>
      <c r="H58" s="3" t="n">
        <v>1</v>
      </c>
      <c r="I58" s="4" t="n">
        <v>5000</v>
      </c>
      <c r="J58" s="4">
        <f>H58*I58</f>
        <v/>
      </c>
      <c r="K58" s="5" t="n">
        <v>0</v>
      </c>
      <c r="L58" s="4">
        <f>J58*K58</f>
        <v/>
      </c>
      <c r="M58" s="4">
        <f>J58-L58</f>
        <v/>
      </c>
      <c r="N58" s="4">
        <f>ROUND(H58*I58*0.40, 2)</f>
        <v/>
      </c>
      <c r="O58" s="4">
        <f>M58-N58</f>
        <v/>
      </c>
      <c r="P58" s="5">
        <f>O58/M58</f>
        <v/>
      </c>
    </row>
    <row r="59">
      <c r="A59" s="2" t="inlineStr">
        <is>
          <t>ORD-2025-058</t>
        </is>
      </c>
      <c r="B59" s="2" t="inlineStr">
        <is>
          <t>2025-02-12</t>
        </is>
      </c>
      <c r="C59" s="2" t="inlineStr">
        <is>
          <t>Kolkata Smart Equity</t>
        </is>
      </c>
      <c r="D59" s="2" t="inlineStr">
        <is>
          <t>Corporate</t>
        </is>
      </c>
      <c r="E59" s="2" t="inlineStr">
        <is>
          <t>East</t>
        </is>
      </c>
      <c r="F59" s="2" t="inlineStr">
        <is>
          <t>PRD-002</t>
        </is>
      </c>
      <c r="G59" s="2">
        <f>INDEX(Lookup_Table!:, MATCH(F59, Lookup_Table!:, 0))</f>
        <v/>
      </c>
      <c r="H59" s="3" t="n">
        <v>7</v>
      </c>
      <c r="I59" s="4" t="n">
        <v>25000</v>
      </c>
      <c r="J59" s="4">
        <f>H59*I59</f>
        <v/>
      </c>
      <c r="K59" s="5" t="n">
        <v>0.15</v>
      </c>
      <c r="L59" s="4">
        <f>J59*K59</f>
        <v/>
      </c>
      <c r="M59" s="4">
        <f>J59-L59</f>
        <v/>
      </c>
      <c r="N59" s="4">
        <f>ROUND(H59*I59*0.55, 2)</f>
        <v/>
      </c>
      <c r="O59" s="4">
        <f>M59-N59</f>
        <v/>
      </c>
      <c r="P59" s="5">
        <f>O59/M59</f>
        <v/>
      </c>
    </row>
    <row r="60">
      <c r="A60" s="2" t="inlineStr">
        <is>
          <t>ORD-2025-059</t>
        </is>
      </c>
      <c r="B60" s="2" t="inlineStr">
        <is>
          <t>2025-04-13</t>
        </is>
      </c>
      <c r="C60" s="2" t="inlineStr">
        <is>
          <t>Pooja Nair</t>
        </is>
      </c>
      <c r="D60" s="2" t="inlineStr">
        <is>
          <t>Consumer</t>
        </is>
      </c>
      <c r="E60" s="2" t="inlineStr">
        <is>
          <t>South</t>
        </is>
      </c>
      <c r="F60" s="2" t="inlineStr">
        <is>
          <t>PRD-002</t>
        </is>
      </c>
      <c r="G60" s="2">
        <f>INDEX(Lookup_Table!:, MATCH(F60, Lookup_Table!:, 0))</f>
        <v/>
      </c>
      <c r="H60" s="3" t="n">
        <v>1</v>
      </c>
      <c r="I60" s="4" t="n">
        <v>25000</v>
      </c>
      <c r="J60" s="4">
        <f>H60*I60</f>
        <v/>
      </c>
      <c r="K60" s="5" t="n">
        <v>0.05</v>
      </c>
      <c r="L60" s="4">
        <f>J60*K60</f>
        <v/>
      </c>
      <c r="M60" s="4">
        <f>J60-L60</f>
        <v/>
      </c>
      <c r="N60" s="4">
        <f>ROUND(H60*I60*0.55, 2)</f>
        <v/>
      </c>
      <c r="O60" s="4">
        <f>M60-N60</f>
        <v/>
      </c>
      <c r="P60" s="5">
        <f>O60/M60</f>
        <v/>
      </c>
    </row>
    <row r="61">
      <c r="A61" s="2" t="inlineStr">
        <is>
          <t>ORD-2025-060</t>
        </is>
      </c>
      <c r="B61" s="2" t="inlineStr">
        <is>
          <t>2025-04-10</t>
        </is>
      </c>
      <c r="C61" s="2" t="inlineStr">
        <is>
          <t>Ananya Deshmukh</t>
        </is>
      </c>
      <c r="D61" s="2" t="inlineStr">
        <is>
          <t>Consumer</t>
        </is>
      </c>
      <c r="E61" s="2" t="inlineStr">
        <is>
          <t>West</t>
        </is>
      </c>
      <c r="F61" s="2" t="inlineStr">
        <is>
          <t>PRD-001</t>
        </is>
      </c>
      <c r="G61" s="2">
        <f>INDEX(Lookup_Table!:, MATCH(F61, Lookup_Table!:, 0))</f>
        <v/>
      </c>
      <c r="H61" s="3" t="n">
        <v>5</v>
      </c>
      <c r="I61" s="4" t="n">
        <v>45000</v>
      </c>
      <c r="J61" s="4">
        <f>H61*I61</f>
        <v/>
      </c>
      <c r="K61" s="5" t="n">
        <v>0.15</v>
      </c>
      <c r="L61" s="4">
        <f>J61*K61</f>
        <v/>
      </c>
      <c r="M61" s="4">
        <f>J61-L61</f>
        <v/>
      </c>
      <c r="N61" s="4">
        <f>ROUND(H61*I61*0.65, 2)</f>
        <v/>
      </c>
      <c r="O61" s="4">
        <f>M61-N61</f>
        <v/>
      </c>
      <c r="P61" s="5">
        <f>O61/M61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39" customWidth="1" min="3" max="3"/>
    <col width="17" customWidth="1" min="4" max="4"/>
    <col width="16" customWidth="1" min="5" max="5"/>
    <col width="20" customWidth="1" min="6" max="6"/>
  </cols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Product_Name</t>
        </is>
      </c>
      <c r="D1" s="1" t="inlineStr">
        <is>
          <t>Standard_Price</t>
        </is>
      </c>
      <c r="E1" s="1" t="inlineStr">
        <is>
          <t>Target_Margin</t>
        </is>
      </c>
      <c r="F1" s="1" t="inlineStr">
        <is>
          <t>Support_Tier</t>
        </is>
      </c>
    </row>
    <row r="2">
      <c r="A2" t="inlineStr">
        <is>
          <t>PRD-001</t>
        </is>
      </c>
      <c r="B2" t="inlineStr">
        <is>
          <t>FinTech Analytics</t>
        </is>
      </c>
      <c r="C2" t="inlineStr">
        <is>
          <t>Bluestock Pro Terminal</t>
        </is>
      </c>
      <c r="D2" t="n">
        <v>45000</v>
      </c>
      <c r="E2" t="n">
        <v>0.35</v>
      </c>
      <c r="F2" t="inlineStr">
        <is>
          <t>Premium 24/7</t>
        </is>
      </c>
    </row>
    <row r="3">
      <c r="A3" t="inlineStr">
        <is>
          <t>PRD-002</t>
        </is>
      </c>
      <c r="B3" t="inlineStr">
        <is>
          <t>API Solutions</t>
        </is>
      </c>
      <c r="C3" t="inlineStr">
        <is>
          <t>Real-Time Market Data Feed</t>
        </is>
      </c>
      <c r="D3" t="n">
        <v>25000</v>
      </c>
      <c r="E3" t="n">
        <v>0.45</v>
      </c>
      <c r="F3" t="inlineStr">
        <is>
          <t>Standard SLA</t>
        </is>
      </c>
    </row>
    <row r="4">
      <c r="A4" t="inlineStr">
        <is>
          <t>PRD-003</t>
        </is>
      </c>
      <c r="B4" t="inlineStr">
        <is>
          <t>Investment Research</t>
        </is>
      </c>
      <c r="C4" t="inlineStr">
        <is>
          <t>Algorithmic Strategy Suite</t>
        </is>
      </c>
      <c r="D4" t="n">
        <v>35000</v>
      </c>
      <c r="E4" t="n">
        <v>0.4</v>
      </c>
      <c r="F4" t="inlineStr">
        <is>
          <t>Premium 24/7</t>
        </is>
      </c>
    </row>
    <row r="5">
      <c r="A5" t="inlineStr">
        <is>
          <t>PRD-004</t>
        </is>
      </c>
      <c r="B5" t="inlineStr">
        <is>
          <t>Wealth Advisory</t>
        </is>
      </c>
      <c r="C5" t="inlineStr">
        <is>
          <t>Portfolio Risk Optimizer</t>
        </is>
      </c>
      <c r="D5" t="n">
        <v>20000</v>
      </c>
      <c r="E5" t="n">
        <v>0.3</v>
      </c>
      <c r="F5" t="inlineStr">
        <is>
          <t>Standard SLA</t>
        </is>
      </c>
    </row>
    <row r="6">
      <c r="A6" t="inlineStr">
        <is>
          <t>PRD-005</t>
        </is>
      </c>
      <c r="B6" t="inlineStr">
        <is>
          <t>Compliance &amp; Tax</t>
        </is>
      </c>
      <c r="C6" t="inlineStr">
        <is>
          <t>Automated GST &amp; Capital Gains Engine</t>
        </is>
      </c>
      <c r="D6" t="n">
        <v>15000</v>
      </c>
      <c r="E6" t="n">
        <v>0.5</v>
      </c>
      <c r="F6" t="inlineStr">
        <is>
          <t>Standard SLA</t>
        </is>
      </c>
    </row>
    <row r="7">
      <c r="A7" t="inlineStr">
        <is>
          <t>PRD-006</t>
        </is>
      </c>
      <c r="B7" t="inlineStr">
        <is>
          <t>Retail Subscriptions</t>
        </is>
      </c>
      <c r="C7" t="inlineStr">
        <is>
          <t>Investor Learning &amp; Screener Pass</t>
        </is>
      </c>
      <c r="D7" t="n">
        <v>5000</v>
      </c>
      <c r="E7" t="n">
        <v>0.6</v>
      </c>
      <c r="F7" t="inlineStr">
        <is>
          <t>Community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39" customWidth="1" min="3" max="3"/>
    <col width="57" customWidth="1" min="4" max="4"/>
    <col width="57" customWidth="1" min="5" max="5"/>
    <col width="12" customWidth="1" min="6" max="6"/>
    <col width="12" customWidth="1" min="7" max="7"/>
    <col width="26" customWidth="1" min="8" max="8"/>
    <col width="45" customWidth="1" min="9" max="9"/>
    <col width="63" customWidth="1" min="10" max="10"/>
    <col width="63" customWidth="1" min="11" max="11"/>
    <col width="12" customWidth="1" min="12" max="12"/>
    <col width="12" customWidth="1" min="13" max="13"/>
  </cols>
  <sheetData>
    <row r="1"/>
    <row r="2">
      <c r="B2" s="6" t="inlineStr">
        <is>
          <t>BLUESTOCK FINTECH — SALES &amp; REVENUE PERFORMANCE DASHBOARD</t>
        </is>
      </c>
    </row>
    <row r="3"/>
    <row r="4"/>
    <row r="5">
      <c r="B5" s="7" t="inlineStr">
        <is>
          <t>TOTAL GROSS REVENUE</t>
        </is>
      </c>
      <c r="E5" s="7" t="inlineStr">
        <is>
          <t>TOTAL NET REVENUE</t>
        </is>
      </c>
      <c r="H5" s="7" t="inlineStr">
        <is>
          <t>TOTAL NET PROFIT</t>
        </is>
      </c>
      <c r="K5" s="7" t="inlineStr">
        <is>
          <t>OVERALL PROFIT MARGIN</t>
        </is>
      </c>
    </row>
    <row r="6">
      <c r="B6" s="8">
        <f>SUM(Sales_Data!J2:J61)</f>
        <v/>
      </c>
      <c r="E6" s="8">
        <f>SUM(Sales_Data!M2:M61)</f>
        <v/>
      </c>
      <c r="H6" s="8">
        <f>SUM(Sales_Data!O2:O61)</f>
        <v/>
      </c>
      <c r="K6" s="9">
        <f>H6/E6</f>
        <v/>
      </c>
    </row>
    <row r="7"/>
    <row r="8"/>
    <row r="9">
      <c r="B9" s="10" t="inlineStr">
        <is>
          <t>Regional Revenue Breakdown</t>
        </is>
      </c>
      <c r="H9" s="10" t="inlineStr">
        <is>
          <t>Segment Performance</t>
        </is>
      </c>
    </row>
    <row r="10">
      <c r="B10" s="11" t="inlineStr">
        <is>
          <t>Region</t>
        </is>
      </c>
      <c r="C10" s="11" t="inlineStr">
        <is>
          <t>Order Count</t>
        </is>
      </c>
      <c r="D10" s="11" t="inlineStr">
        <is>
          <t>Net Revenue</t>
        </is>
      </c>
      <c r="E10" s="11" t="inlineStr">
        <is>
          <t>Profit</t>
        </is>
      </c>
      <c r="F10" s="11" t="inlineStr">
        <is>
          <t>Margin %</t>
        </is>
      </c>
      <c r="H10" s="11" t="inlineStr">
        <is>
          <t>Customer Segment</t>
        </is>
      </c>
      <c r="I10" s="11" t="inlineStr">
        <is>
          <t>Orders</t>
        </is>
      </c>
      <c r="J10" s="11" t="inlineStr">
        <is>
          <t>Net Revenue</t>
        </is>
      </c>
      <c r="K10" s="11" t="inlineStr">
        <is>
          <t>Profit</t>
        </is>
      </c>
    </row>
    <row r="11">
      <c r="B11" s="12" t="inlineStr">
        <is>
          <t>North</t>
        </is>
      </c>
      <c r="C11" s="13">
        <f>COUNTIF(Sales_Data!E2:E61, "North")</f>
        <v/>
      </c>
      <c r="D11" s="14">
        <f>SUMIFS(Sales_Data!M2:M61, Sales_Data!E2:E61, "North")</f>
        <v/>
      </c>
      <c r="E11" s="14">
        <f>SUMIFS(Sales_Data!O2:O61, Sales_Data!E2:E61, "North")</f>
        <v/>
      </c>
      <c r="F11" s="15">
        <f>E11/D11</f>
        <v/>
      </c>
      <c r="H11" s="12" t="inlineStr">
        <is>
          <t>Corporate</t>
        </is>
      </c>
      <c r="I11" s="13">
        <f>COUNTIF(Sales_Data!D2:D61, "Corporate")</f>
        <v/>
      </c>
      <c r="J11" s="14">
        <f>SUMIFS(Sales_Data!M2:M61, Sales_Data!D2:D61, "Corporate")</f>
        <v/>
      </c>
      <c r="K11" s="14">
        <f>SUMIFS(Sales_Data!O2:O61, Sales_Data!D2:D61, "Corporate")</f>
        <v/>
      </c>
    </row>
    <row r="12">
      <c r="B12" s="12" t="inlineStr">
        <is>
          <t>South</t>
        </is>
      </c>
      <c r="C12" s="13">
        <f>COUNTIF(Sales_Data!E2:E61, "South")</f>
        <v/>
      </c>
      <c r="D12" s="14">
        <f>SUMIFS(Sales_Data!M2:M61, Sales_Data!E2:E61, "South")</f>
        <v/>
      </c>
      <c r="E12" s="14">
        <f>SUMIFS(Sales_Data!O2:O61, Sales_Data!E2:E61, "South")</f>
        <v/>
      </c>
      <c r="F12" s="15">
        <f>E12/D12</f>
        <v/>
      </c>
      <c r="H12" s="12" t="inlineStr">
        <is>
          <t>FinTech Pro</t>
        </is>
      </c>
      <c r="I12" s="13">
        <f>COUNTIF(Sales_Data!D2:D61, "FinTech Pro")</f>
        <v/>
      </c>
      <c r="J12" s="14">
        <f>SUMIFS(Sales_Data!M2:M61, Sales_Data!D2:D61, "FinTech Pro")</f>
        <v/>
      </c>
      <c r="K12" s="14">
        <f>SUMIFS(Sales_Data!O2:O61, Sales_Data!D2:D61, "FinTech Pro")</f>
        <v/>
      </c>
    </row>
    <row r="13">
      <c r="B13" s="12" t="inlineStr">
        <is>
          <t>East</t>
        </is>
      </c>
      <c r="C13" s="13">
        <f>COUNTIF(Sales_Data!E2:E61, "East")</f>
        <v/>
      </c>
      <c r="D13" s="14">
        <f>SUMIFS(Sales_Data!M2:M61, Sales_Data!E2:E61, "East")</f>
        <v/>
      </c>
      <c r="E13" s="14">
        <f>SUMIFS(Sales_Data!O2:O61, Sales_Data!E2:E61, "East")</f>
        <v/>
      </c>
      <c r="F13" s="15">
        <f>E13/D13</f>
        <v/>
      </c>
      <c r="H13" s="12" t="inlineStr">
        <is>
          <t>Consumer</t>
        </is>
      </c>
      <c r="I13" s="13">
        <f>COUNTIF(Sales_Data!D2:D61, "Consumer")</f>
        <v/>
      </c>
      <c r="J13" s="14">
        <f>SUMIFS(Sales_Data!M2:M61, Sales_Data!D2:D61, "Consumer")</f>
        <v/>
      </c>
      <c r="K13" s="14">
        <f>SUMIFS(Sales_Data!O2:O61, Sales_Data!D2:D61, "Consumer")</f>
        <v/>
      </c>
    </row>
    <row r="14">
      <c r="B14" s="12" t="inlineStr">
        <is>
          <t>West</t>
        </is>
      </c>
      <c r="C14" s="13">
        <f>COUNTIF(Sales_Data!E2:E61, "West")</f>
        <v/>
      </c>
      <c r="D14" s="14">
        <f>SUMIFS(Sales_Data!M2:M61, Sales_Data!E2:E61, "West")</f>
        <v/>
      </c>
      <c r="E14" s="14">
        <f>SUMIFS(Sales_Data!O2:O61, Sales_Data!E2:E61, "West")</f>
        <v/>
      </c>
      <c r="F14" s="15">
        <f>E14/D14</f>
        <v/>
      </c>
    </row>
    <row r="15">
      <c r="B15" s="12" t="inlineStr">
        <is>
          <t>Total</t>
        </is>
      </c>
      <c r="C15" s="12">
        <f>SUM(C11:C14)</f>
        <v/>
      </c>
      <c r="D15" s="16">
        <f>SUM(D11:D14)</f>
        <v/>
      </c>
      <c r="E15" s="16">
        <f>SUM(E11:E14)</f>
        <v/>
      </c>
      <c r="F15" s="17">
        <f>E15/D15</f>
        <v/>
      </c>
    </row>
  </sheetData>
  <mergeCells count="9">
    <mergeCell ref="B6:C6"/>
    <mergeCell ref="E6:F6"/>
    <mergeCell ref="B2:M3"/>
    <mergeCell ref="H6:I6"/>
    <mergeCell ref="B5:C5"/>
    <mergeCell ref="E5:F5"/>
    <mergeCell ref="K5:L5"/>
    <mergeCell ref="H5:I5"/>
    <mergeCell ref="K6:L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2026-10-23T17:56:35Z</dcterms:created>
  <dcterms:modified xmlns:dcterms="http://purl.org/dc/terms/" xmlns:xsi="http://www.w3.org/2001/XMLSchema-instance" xsi:type="dcterms:W3CDTF">2026-10-23T17:56:35Z</dcterms:modified>
</cp:coreProperties>
</file>